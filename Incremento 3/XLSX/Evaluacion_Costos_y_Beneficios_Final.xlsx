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enat\Documents\CB\"/>
    </mc:Choice>
  </mc:AlternateContent>
  <xr:revisionPtr revIDLastSave="0" documentId="13_ncr:1_{A5195DC8-BB23-4CA4-B825-C63EAB155F11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Supuestos" sheetId="1" r:id="rId1"/>
    <sheet name="Costos Iniciales" sheetId="2" r:id="rId2"/>
    <sheet name="Operación" sheetId="3" r:id="rId3"/>
    <sheet name="Flujo 18m" sheetId="4" r:id="rId4"/>
    <sheet name="Escenarios" sheetId="5" r:id="rId5"/>
    <sheet name="Comparación" sheetId="6" r:id="rId6"/>
    <sheet name="Fuentes" sheetId="7" r:id="rId7"/>
    <sheet name="Resume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5" l="1"/>
  <c r="C7" i="5"/>
  <c r="C6" i="5"/>
  <c r="C5" i="5"/>
  <c r="B8" i="3"/>
  <c r="C5" i="3"/>
  <c r="D5" i="3" s="1"/>
  <c r="B4" i="3"/>
  <c r="B13" i="2"/>
  <c r="D13" i="2" s="1"/>
  <c r="B10" i="2"/>
  <c r="C8" i="2"/>
  <c r="D8" i="2" s="1"/>
  <c r="B7" i="2"/>
  <c r="B6" i="2"/>
  <c r="B5" i="2"/>
  <c r="B24" i="1"/>
  <c r="B10" i="1"/>
  <c r="C23" i="4" l="1"/>
  <c r="C22" i="4"/>
  <c r="C19" i="4"/>
  <c r="C18" i="4"/>
  <c r="C17" i="4"/>
  <c r="C11" i="6"/>
  <c r="D11" i="6" s="1"/>
  <c r="C21" i="4"/>
  <c r="C20" i="4"/>
  <c r="C16" i="4"/>
  <c r="C15" i="4"/>
  <c r="C14" i="4"/>
  <c r="C13" i="4"/>
  <c r="C12" i="4"/>
  <c r="C11" i="4"/>
  <c r="C10" i="4"/>
  <c r="C9" i="4"/>
  <c r="C8" i="4"/>
  <c r="C7" i="4"/>
  <c r="C6" i="4"/>
  <c r="C5" i="2"/>
  <c r="D5" i="2" s="1"/>
  <c r="C4" i="3"/>
  <c r="D4" i="3" s="1"/>
  <c r="D6" i="3" s="1"/>
  <c r="C6" i="2"/>
  <c r="D6" i="2" s="1"/>
  <c r="C7" i="2"/>
  <c r="D7" i="2" s="1"/>
  <c r="F6" i="4" l="1"/>
  <c r="G6" i="4" s="1"/>
  <c r="B29" i="4"/>
  <c r="C6" i="6"/>
  <c r="D6" i="6" s="1"/>
  <c r="D9" i="2"/>
  <c r="C18" i="8"/>
  <c r="C5" i="8"/>
  <c r="D6" i="5"/>
  <c r="D5" i="5"/>
  <c r="C8" i="6"/>
  <c r="D8" i="6" s="1"/>
  <c r="D8" i="5"/>
  <c r="D7" i="5"/>
  <c r="D23" i="4"/>
  <c r="F23" i="4" s="1"/>
  <c r="G23" i="4" s="1"/>
  <c r="D22" i="4"/>
  <c r="F22" i="4" s="1"/>
  <c r="G22" i="4" s="1"/>
  <c r="D19" i="4"/>
  <c r="F19" i="4" s="1"/>
  <c r="G19" i="4" s="1"/>
  <c r="D18" i="4"/>
  <c r="F18" i="4" s="1"/>
  <c r="G18" i="4" s="1"/>
  <c r="D17" i="4"/>
  <c r="F17" i="4" s="1"/>
  <c r="G17" i="4" s="1"/>
  <c r="D21" i="4"/>
  <c r="F21" i="4" s="1"/>
  <c r="G21" i="4" s="1"/>
  <c r="D20" i="4"/>
  <c r="F20" i="4" s="1"/>
  <c r="G20" i="4" s="1"/>
  <c r="D16" i="4"/>
  <c r="F16" i="4" s="1"/>
  <c r="G16" i="4" s="1"/>
  <c r="D15" i="4"/>
  <c r="F15" i="4" s="1"/>
  <c r="G15" i="4" s="1"/>
  <c r="D14" i="4"/>
  <c r="F14" i="4" s="1"/>
  <c r="G14" i="4" s="1"/>
  <c r="D13" i="4"/>
  <c r="F13" i="4" s="1"/>
  <c r="G13" i="4" s="1"/>
  <c r="D12" i="4"/>
  <c r="F12" i="4" s="1"/>
  <c r="G12" i="4" s="1"/>
  <c r="D11" i="4"/>
  <c r="F11" i="4" s="1"/>
  <c r="G11" i="4" s="1"/>
  <c r="D10" i="4"/>
  <c r="F10" i="4" s="1"/>
  <c r="G10" i="4" s="1"/>
  <c r="D9" i="4"/>
  <c r="F9" i="4" s="1"/>
  <c r="G9" i="4" s="1"/>
  <c r="D8" i="4"/>
  <c r="F8" i="4" s="1"/>
  <c r="G8" i="4" s="1"/>
  <c r="D7" i="4"/>
  <c r="F7" i="4" s="1"/>
  <c r="G7" i="4" s="1"/>
  <c r="D6" i="4"/>
  <c r="D8" i="3"/>
  <c r="D7" i="3"/>
  <c r="D10" i="2" l="1"/>
  <c r="D11" i="2"/>
  <c r="B28" i="4"/>
  <c r="C9" i="6"/>
  <c r="D9" i="6" s="1"/>
  <c r="C19" i="8"/>
  <c r="B27" i="4" l="1"/>
  <c r="E5" i="5"/>
  <c r="E6" i="5"/>
  <c r="E7" i="5"/>
  <c r="C7" i="6"/>
  <c r="D7" i="6" s="1"/>
  <c r="E8" i="5"/>
  <c r="A5" i="8"/>
  <c r="C17" i="8"/>
  <c r="D10" i="3"/>
  <c r="E5" i="4"/>
  <c r="F5" i="4" s="1"/>
  <c r="H5" i="5" l="1"/>
  <c r="G5" i="5"/>
  <c r="F5" i="5"/>
  <c r="G6" i="5"/>
  <c r="H6" i="5"/>
  <c r="F6" i="5"/>
  <c r="H7" i="5"/>
  <c r="G7" i="5"/>
  <c r="F7" i="5"/>
  <c r="G8" i="5"/>
  <c r="H8" i="5"/>
  <c r="F8" i="5"/>
  <c r="C10" i="6"/>
  <c r="D10" i="6" s="1"/>
  <c r="E5" i="8"/>
  <c r="C20" i="8"/>
  <c r="G5" i="4"/>
  <c r="B31" i="4"/>
  <c r="H5" i="4" l="1"/>
  <c r="B30" i="4"/>
  <c r="I5" i="4" l="1"/>
  <c r="H6" i="4"/>
  <c r="C12" i="6"/>
  <c r="D12" i="6" s="1"/>
  <c r="G5" i="8"/>
  <c r="I6" i="4" l="1"/>
  <c r="H7" i="4"/>
  <c r="I7" i="4" l="1"/>
  <c r="H8" i="4"/>
  <c r="I8" i="4" l="1"/>
  <c r="H9" i="4"/>
  <c r="I9" i="4" l="1"/>
  <c r="H10" i="4"/>
  <c r="I10" i="4" l="1"/>
  <c r="H11" i="4"/>
  <c r="I11" i="4" l="1"/>
  <c r="H12" i="4"/>
  <c r="I12" i="4" l="1"/>
  <c r="H13" i="4"/>
  <c r="I13" i="4" l="1"/>
  <c r="H14" i="4"/>
  <c r="I14" i="4" l="1"/>
  <c r="H15" i="4"/>
  <c r="I15" i="4" l="1"/>
  <c r="H16" i="4"/>
  <c r="H17" i="4" l="1"/>
  <c r="I16" i="4"/>
  <c r="H18" i="4" l="1"/>
  <c r="I17" i="4"/>
  <c r="I18" i="4" l="1"/>
  <c r="H19" i="4"/>
  <c r="I19" i="4" l="1"/>
  <c r="H20" i="4"/>
  <c r="H21" i="4" l="1"/>
  <c r="I20" i="4"/>
  <c r="I21" i="4" l="1"/>
  <c r="H22" i="4"/>
  <c r="I22" i="4" l="1"/>
  <c r="H23" i="4"/>
  <c r="I23" i="4" s="1"/>
  <c r="B32" i="4" s="1"/>
  <c r="C13" i="6" s="1"/>
  <c r="D13" i="6" s="1"/>
</calcChain>
</file>

<file path=xl/sharedStrings.xml><?xml version="1.0" encoding="utf-8"?>
<sst xmlns="http://schemas.openxmlformats.org/spreadsheetml/2006/main" count="276" uniqueCount="244">
  <si>
    <t>1. BASE DE COSTEO DEL DESARROLLO</t>
  </si>
  <si>
    <t>Supuesto / Dato</t>
  </si>
  <si>
    <t>Valor</t>
  </si>
  <si>
    <t>Unidad</t>
  </si>
  <si>
    <t>Fuente / Justificación</t>
  </si>
  <si>
    <t>Horas hombre efectivas registradas al cierre del proyecto</t>
  </si>
  <si>
    <t>HH</t>
  </si>
  <si>
    <t>Backlog_Sprint_Incremento_3.xlsx, hoja Backlog: 291 + 189 + 178 = 658 HH efectivas. La fila 184 omite la tarea de la fila 125.</t>
  </si>
  <si>
    <t>Integrantes considerados en evaluación original</t>
  </si>
  <si>
    <t>personas</t>
  </si>
  <si>
    <t>Evaluación_ProyectoV2: equipo de desarrollo con 7 roles.</t>
  </si>
  <si>
    <t>Horas estándar por persona-mes</t>
  </si>
  <si>
    <t>h/mes</t>
  </si>
  <si>
    <t>Supuesto operativo editable para convertir costo mensual a costo por hora.</t>
  </si>
  <si>
    <t>Costo empresa mensual del equipo original</t>
  </si>
  <si>
    <t>CLP/mes</t>
  </si>
  <si>
    <t>Evaluación_ProyectoV2: suma mensual del costo empresa de los 7 roles.</t>
  </si>
  <si>
    <t>Costo hora interno ponderado</t>
  </si>
  <si>
    <t>CLP/HH</t>
  </si>
  <si>
    <t>Calculado desde costo empresa mensual / capacidad mensual total.</t>
  </si>
  <si>
    <t>2. IMPLEMENTACIÓN, OPERACIÓN Y BENEFICIOS</t>
  </si>
  <si>
    <t>Horas de configuración e instalación</t>
  </si>
  <si>
    <t>Supuesto editable para instalación/configuración en la PyME.</t>
  </si>
  <si>
    <t>Horas de capacitación inicial</t>
  </si>
  <si>
    <t>Supuesto editable para capacitación del dueño y trabajadores.</t>
  </si>
  <si>
    <t>Lector EAN-13 HID USB</t>
  </si>
  <si>
    <t>CLP</t>
  </si>
  <si>
    <t>Evaluación original: compra única del lector.</t>
  </si>
  <si>
    <t>Contingencia sobre costos iniciales</t>
  </si>
  <si>
    <t>%</t>
  </si>
  <si>
    <t>Supuesto editable para imprevistos menores de implementación.</t>
  </si>
  <si>
    <t>Horas de soporte al mes</t>
  </si>
  <si>
    <t>HH/mes</t>
  </si>
  <si>
    <t>Nuevo enfoque: soporte por bolsa de horas, en vez de media jornada fija.</t>
  </si>
  <si>
    <t>Costo nube mensual actual</t>
  </si>
  <si>
    <t>Arquitectura actual acreditada con persistencia local; nube futura no se considera costo actual.</t>
  </si>
  <si>
    <t>Horizonte de evaluación</t>
  </si>
  <si>
    <t>meses</t>
  </si>
  <si>
    <t>Se mantiene el horizonte de la evaluación inicial para comparabilidad.</t>
  </si>
  <si>
    <t>Tasa de descuento mensual</t>
  </si>
  <si>
    <t>% mensual</t>
  </si>
  <si>
    <t>Arrastrada desde la evaluación inicial (CAPM mensual). Actualizar si el profesor exige una tasa nueva.</t>
  </si>
  <si>
    <t>El desarrollo se valoriza con las 658 HH efectivas registradas en el backlog final, en vez de 7 profesionales a jornada completa durante 4 meses.</t>
  </si>
  <si>
    <t>Concepto</t>
  </si>
  <si>
    <t>Cantidad</t>
  </si>
  <si>
    <t>Costo Unitario</t>
  </si>
  <si>
    <t>Costo Total</t>
  </si>
  <si>
    <t>Criterio</t>
  </si>
  <si>
    <t>Desarrollo del sistema</t>
  </si>
  <si>
    <t>HH efectivas registradas × costo hora interno de referencia</t>
  </si>
  <si>
    <t>Configuración e instalación</t>
  </si>
  <si>
    <t>Horas de instalación × costo hora</t>
  </si>
  <si>
    <t>Capacitación inicial</t>
  </si>
  <si>
    <t>Horas de capacitación × costo hora</t>
  </si>
  <si>
    <t>Hardware lector EAN-13</t>
  </si>
  <si>
    <t>Compra única</t>
  </si>
  <si>
    <t>Subtotal antes de contingencia</t>
  </si>
  <si>
    <t>Suma de costos directos iniciales</t>
  </si>
  <si>
    <t>Contingencia</t>
  </si>
  <si>
    <t>% aplicado al subtotal inicial</t>
  </si>
  <si>
    <t>INVERSIÓN INICIAL ACTUALIZADA</t>
  </si>
  <si>
    <t>Costo total estimado de puesta en marcha</t>
  </si>
  <si>
    <t>Equivalente de esfuerzo</t>
  </si>
  <si>
    <t>persona-mes</t>
  </si>
  <si>
    <t>HH desarrollo / 160 h por persona-mes</t>
  </si>
  <si>
    <t>Lectura metodológica</t>
  </si>
  <si>
    <t>Evaluación inicial</t>
  </si>
  <si>
    <t>7 roles × 4 meses</t>
  </si>
  <si>
    <t>Asume 28 persona-mes de dedicación.</t>
  </si>
  <si>
    <t>658 HH efectivas</t>
  </si>
  <si>
    <t>Equivale a 4,11 persona-mes usando 160 h/mes.</t>
  </si>
  <si>
    <t>Razón del cambio</t>
  </si>
  <si>
    <t>La nueva evaluación se alinea con el esfuerzo documentado en Scrum++ y con un proyecto personalizado para una sola PyME.</t>
  </si>
  <si>
    <t>COSTOS DE OPERACIÓN Y MANTENIMIENTO</t>
  </si>
  <si>
    <t>Costo Mensual</t>
  </si>
  <si>
    <t>Observación</t>
  </si>
  <si>
    <t>Soporte técnico</t>
  </si>
  <si>
    <t>Bolsa mensual de horas; editable desde Supuestos.</t>
  </si>
  <si>
    <t>Infraestructura nube actual</t>
  </si>
  <si>
    <t>Persistencia local acreditada; costo mensual actual = 0.</t>
  </si>
  <si>
    <t>TOTAL OPERATIVO MENSUAL</t>
  </si>
  <si>
    <t>Costo operativo anual</t>
  </si>
  <si>
    <t>Costo mensual × 12</t>
  </si>
  <si>
    <t>Costo operativo horizonte</t>
  </si>
  <si>
    <t>Costo mensual × horizonte de evaluación</t>
  </si>
  <si>
    <t>TCO — costo total de propiedad</t>
  </si>
  <si>
    <t>Inversión inicial + costo operativo del horizonte</t>
  </si>
  <si>
    <t>Mes #</t>
  </si>
  <si>
    <t>Período</t>
  </si>
  <si>
    <t>Beneficio Bruto</t>
  </si>
  <si>
    <t>Costo Operativo</t>
  </si>
  <si>
    <t>Inversión Inicial</t>
  </si>
  <si>
    <t>Flujo Neto</t>
  </si>
  <si>
    <t>Flujo Descontado</t>
  </si>
  <si>
    <t>Acumulado Desc.</t>
  </si>
  <si>
    <t>Flag Payback</t>
  </si>
  <si>
    <t>Mes 0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</si>
  <si>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</si>
  <si>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</si>
  <si>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</si>
  <si>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</si>
  <si>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</si>
  <si>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</si>
  <si>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</si>
  <si>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</si>
  <si>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</si>
  <si>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</si>
  <si>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</si>
  <si>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</si>
  <si>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</si>
  <si>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</si>
  <si>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</si>
  <si>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</si>
  <si>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</si>
  <si>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</si>
  <si>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INDICADORES</t>
  </si>
  <si>
    <t>Indicador</t>
  </si>
  <si>
    <t>Interpretación</t>
  </si>
  <si>
    <t>Inversión inicial actualizada</t>
  </si>
  <si>
    <t>Costo estimado de desarrollo + implementación.</t>
  </si>
  <si>
    <t>Costo operativo total 18m</t>
  </si>
  <si>
    <t>Mantenimiento/operación durante el horizonte.</t>
  </si>
  <si>
    <t>Beneficio bruto total 18m</t>
  </si>
  <si>
    <t>Supuesto mensual utilizado × 18.</t>
  </si>
  <si>
    <t>TIR mensual</t>
  </si>
  <si>
    <t>Tasa que hace VAN = 0; comparar con tasa de descuento mensual.</t>
  </si>
  <si>
    <t>Payback descontado</t>
  </si>
  <si>
    <t>Primer mes con acumulado descontado no negativo.</t>
  </si>
  <si>
    <t>Escenario</t>
  </si>
  <si>
    <t>% Beneficio Original</t>
  </si>
  <si>
    <t>Beneficio Mensual</t>
  </si>
  <si>
    <t>VAN 18m</t>
  </si>
  <si>
    <t>ROI 18m</t>
  </si>
  <si>
    <t>Payback Simple (meses)</t>
  </si>
  <si>
    <t>Moderado</t>
  </si>
  <si>
    <t>Alto</t>
  </si>
  <si>
    <t>COMPARACIÓN — EVALUACIÓN INICIAL VS. ACTUALIZADA</t>
  </si>
  <si>
    <t>Evaluación Inicial</t>
  </si>
  <si>
    <t>Evaluación Actualizada</t>
  </si>
  <si>
    <t>Variación</t>
  </si>
  <si>
    <t>Comentario</t>
  </si>
  <si>
    <t>Base de desarrollo</t>
  </si>
  <si>
    <t>—</t>
  </si>
  <si>
    <t>Cambia la unidad de costeo desde dotación fija a esfuerzo del proyecto.</t>
  </si>
  <si>
    <t>Costo desarrollo / RRHH</t>
  </si>
  <si>
    <t>Inicial: equipo full-time. Final: HH efectivas × costo hora de referencia.</t>
  </si>
  <si>
    <t>Inversión inicial total</t>
  </si>
  <si>
    <t>Incluye hardware e implementación.</t>
  </si>
  <si>
    <t>Costo operativo mensual</t>
  </si>
  <si>
    <t>Inicial: media jornada fija. Actualizada: bolsa de 8 HH/mes.</t>
  </si>
  <si>
    <t>Costo operativo 18m</t>
  </si>
  <si>
    <t>Horizonte comparable de 18 meses.</t>
  </si>
  <si>
    <t>TCO 18m</t>
  </si>
  <si>
    <t>Inversión inicial + operación del horizonte.</t>
  </si>
  <si>
    <t>Beneficio mensual referencia</t>
  </si>
  <si>
    <t>Payback descontado (meses)</t>
  </si>
  <si>
    <t>Primer mes con acumulado descontado positivo.</t>
  </si>
  <si>
    <t>TRAZABILIDAD DE DATOS Y FUENTES</t>
  </si>
  <si>
    <t>Dato utilizado</t>
  </si>
  <si>
    <t>Valor / Referencia</t>
  </si>
  <si>
    <t>Fuente</t>
  </si>
  <si>
    <t>Ubicación / Nota</t>
  </si>
  <si>
    <t>Exigencia de estimación de costos y beneficios</t>
  </si>
  <si>
    <t>Obligatoria</t>
  </si>
  <si>
    <t>2026-Rubrica Proyecto-Ingenieria_de_Software-v5.pdf</t>
  </si>
  <si>
    <t>Pág. 1: anexo incluye Planificación, Estimación de Costos y Beneficios.</t>
  </si>
  <si>
    <t>Excel de costo-beneficio en incrementos</t>
  </si>
  <si>
    <t>Debe acompañar las entregas</t>
  </si>
  <si>
    <t>Pág. 9: Excel de estimación de costo y beneficio aplica también a incrementos Scrum++.</t>
  </si>
  <si>
    <t>Horas del proyecto</t>
  </si>
  <si>
    <t>Backlog_Sprint_Incremento_3.xlsx</t>
  </si>
  <si>
    <t>Hoja Backlog: filas 3:53 = 291 HH, 56:120 = 189 HH, 125:183 = 178 HH. Total 658 HH efectivas.</t>
  </si>
  <si>
    <t>Incremento 3</t>
  </si>
  <si>
    <t>173 HH estimadas / 178 HH efectivas</t>
  </si>
  <si>
    <t>Hoja Backlog, filas 125:183. La fórmula de la fila 184 comienza en 126 y omite la tarea de la fila 125.</t>
  </si>
  <si>
    <t>Arquitectura operativa</t>
  </si>
  <si>
    <t>Persistencia local libSQL</t>
  </si>
  <si>
    <t>Grupo 6 - Incremento 3 (1).docx</t>
  </si>
  <si>
    <t>Vista física: nube/sincronización futura, no acreditada como costo actual.</t>
  </si>
  <si>
    <t>Costo empresa mensual equipo</t>
  </si>
  <si>
    <t>$11.180.000</t>
  </si>
  <si>
    <t>Evaluacion_ProyectoV2 (1) (1).xlsx</t>
  </si>
  <si>
    <t>Hoja Costos RRHH: suma mensual de 7 roles.</t>
  </si>
  <si>
    <t>Lector EAN-13</t>
  </si>
  <si>
    <t>$50.000</t>
  </si>
  <si>
    <t>Hoja Licencias y Herramientas / Inversión Inicial.</t>
  </si>
  <si>
    <t>CRITERIO METODOLÓGICO</t>
  </si>
  <si>
    <t>1</t>
  </si>
  <si>
    <t>El costo actualizado no supone siete contrataciones full-time por cuatro meses.</t>
  </si>
  <si>
    <t>2</t>
  </si>
  <si>
    <t>Las 658 HH efectivas se valorizan con una tarifa derivada del modelo salarial inicial.</t>
  </si>
  <si>
    <t>3</t>
  </si>
  <si>
    <t>La mantención se modela como bolsa de horas mensual, adecuada para una PyME con aplicación local.</t>
  </si>
  <si>
    <t>4</t>
  </si>
  <si>
    <t>INVERSIÓN INICIAL</t>
  </si>
  <si>
    <t>COSTO MENSUAL</t>
  </si>
  <si>
    <t>TCO 18 MESES</t>
  </si>
  <si>
    <t>Elemento</t>
  </si>
  <si>
    <t>Antes</t>
  </si>
  <si>
    <t>Ahora</t>
  </si>
  <si>
    <t>Impacto</t>
  </si>
  <si>
    <t>Costo de desarrollo</t>
  </si>
  <si>
    <t>Trazabilidad con las horas registradas de los tres incrementos</t>
  </si>
  <si>
    <t>Soporte</t>
  </si>
  <si>
    <t>1 dev Jr media jornada</t>
  </si>
  <si>
    <t>Nube</t>
  </si>
  <si>
    <t>Beneficios</t>
  </si>
  <si>
    <t>COMPARACIÓN ECONÓMICA PRINCIPAL</t>
  </si>
  <si>
    <t>Inicial</t>
  </si>
  <si>
    <t>Inversión inicial</t>
  </si>
  <si>
    <t>DATOS BASE DE LA EVALUACIÓN</t>
  </si>
  <si>
    <t>Precios de mercado investigados, horas registradas del proyecto y parámetros de funcionamiento del sistema.</t>
  </si>
  <si>
    <t>Beneficio mensual de la evaluación inicial</t>
  </si>
  <si>
    <t>Evaluacion_ProyectoV2: beneficio mensual calculado en la primera evaluación económica.</t>
  </si>
  <si>
    <t>Porcentaje aplicado en la evaluación final</t>
  </si>
  <si>
    <t>Se considera el 25% del beneficio inicial para evaluar un ahorro mensual más moderado.</t>
  </si>
  <si>
    <t>Beneficio mensual estimado</t>
  </si>
  <si>
    <t>Beneficio inicial × porcentaje aplicado en la evaluación final.</t>
  </si>
  <si>
    <t>COSTO INICIAL DEL SISTEMA</t>
  </si>
  <si>
    <t>Evaluación final</t>
  </si>
  <si>
    <t>FLUJO DE COSTOS Y BENEFICIOS A 18 MESES</t>
  </si>
  <si>
    <t>Los beneficios se calculan desde el valor mensual de la evaluación final; los costos iniciales y de operación se detallan en las hojas respectivas.</t>
  </si>
  <si>
    <t>VAN de la evaluación final</t>
  </si>
  <si>
    <t>Resultado de los flujos mensuales descontados menos la inversión inicial.</t>
  </si>
  <si>
    <t>RESULTADOS SEGÚN EL BENEFICIO MENSUAL</t>
  </si>
  <si>
    <t>Comparación del valor actual neto para distintos niveles de beneficio mensual durante 18 meses.</t>
  </si>
  <si>
    <t>La evaluación final utiliza 658 HH efectivas, 8 horas de soporte al mes y un beneficio mensual equivalente al 25% del cálculo inicial.</t>
  </si>
  <si>
    <t>La evaluación final considera $1.000.000 mensuales.</t>
  </si>
  <si>
    <t>Los beneficios mensuales son distintos entre ambas evaluaciones.</t>
  </si>
  <si>
    <t>El beneficio mensual final es $1.000.000: 25% de los $4.000.000 de la primera evaluación.</t>
  </si>
  <si>
    <t>EVALUACIÓN FINAL DE COSTOS Y BENEFICIOS</t>
  </si>
  <si>
    <t>Sistema Integral de Gestión Operativa del Minimarket y Panadería Huáscar | 658 HH efectivas | Beneficio mensual estimado: $1.000.000</t>
  </si>
  <si>
    <t>VAN 18 MESES</t>
  </si>
  <si>
    <t>RESUMEN DEL CÁLCULO</t>
  </si>
  <si>
    <t>8 horas de soporte al mes</t>
  </si>
  <si>
    <t>Costo de mantenimiento mensual</t>
  </si>
  <si>
    <t>Servicio de nube en evaluación inicial</t>
  </si>
  <si>
    <t>Almacenamiento local: $0 al mes</t>
  </si>
  <si>
    <t>Sin pago mensual de nube</t>
  </si>
  <si>
    <t>$4.000.000/mes en la primera evaluación</t>
  </si>
  <si>
    <t>$1.000.000/mes en la evaluación final</t>
  </si>
  <si>
    <t>25% del cálculo inicial</t>
  </si>
  <si>
    <t>Final</t>
  </si>
  <si>
    <t>Conclusión:
La evaluación final usa las 658 horas efectivas registradas en el backlog y los precios de mercado investigados para el proyecto. La inversión inicial se estima en $7.499.682 y el costo operativo mensual en $79.857.
Con un beneficio estimado de $1.000.000 al mes, el VAN a 18 meses es $7.631.285.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</si>
</sst>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(&quot;$&quot;#,##0\);\-"/>
    <numFmt numFmtId="165" formatCode="0.0%;[Red]\(0.0%\);\-"/>
    <numFmt numFmtId="166" formatCode="0.00%;[Red]\(0.00%\);\-"/>
    <numFmt numFmtId="167" formatCode="#,##0.0;[Red]\(#,##0.0\);\-"/>
    <numFmt numFmtId="168" formatCode="#,##0;[Red]\(#,##0\);\-"/>
    <numFmt numFmtId="169" formatCode="0.0"/>
  </numFmts>
  <fonts count="12">
    <font>
      <sz val="11"/>
      <name val="Carlito"/>
    </font>
    <font>
      <b/>
      <sz val="16"/>
      <color rgb="FFFFFFFF"/>
      <name val="Carlito"/>
    </font>
    <font>
      <i/>
      <sz val="11"/>
      <color rgb="FF595959"/>
      <name val="Carlito"/>
    </font>
    <font>
      <b/>
      <sz val="11"/>
      <color rgb="FFFFFFFF"/>
      <name val="Carlito"/>
    </font>
    <font>
      <b/>
      <sz val="11"/>
      <color rgb="FF000000"/>
      <name val="Carlito"/>
    </font>
    <font>
      <sz val="11"/>
      <color rgb="FF0000FF"/>
      <name val="Carlito"/>
    </font>
    <font>
      <b/>
      <sz val="11"/>
      <color rgb="FFC00000"/>
      <name val="Carlito"/>
    </font>
    <font>
      <sz val="11"/>
      <color rgb="FF008000"/>
      <name val="Carlito"/>
    </font>
    <font>
      <sz val="11"/>
      <color rgb="FF000000"/>
      <name val="Carlito"/>
    </font>
    <font>
      <b/>
      <sz val="11"/>
      <name val="Carlito"/>
    </font>
    <font>
      <b/>
      <sz val="11"/>
      <color rgb="FF595959"/>
      <name val="Carlito"/>
    </font>
    <font>
      <b/>
      <sz val="18"/>
      <color rgb="FF00800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theme="0"/>
      </patternFill>
    </fill>
  </fills>
  <borders count="1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medium">
        <color rgb="FF548235"/>
      </top>
      <bottom/>
      <diagonal/>
    </border>
    <border>
      <left/>
      <right/>
      <top style="medium">
        <color rgb="FF548235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2" borderId="0" xfId="0" applyFon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5" fillId="5" borderId="0" xfId="0" applyFont="1" applyFill="1" applyAlignment="1">
      <alignment vertical="center" wrapText="1"/>
    </xf>
    <xf numFmtId="164" fontId="5" fillId="5" borderId="10" xfId="0" applyNumberFormat="1" applyFont="1" applyFill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164" fontId="4" fillId="6" borderId="13" xfId="0" applyNumberFormat="1" applyFont="1" applyFill="1" applyBorder="1" applyAlignment="1">
      <alignment vertical="center" wrapText="1"/>
    </xf>
    <xf numFmtId="164" fontId="5" fillId="5" borderId="0" xfId="0" applyNumberFormat="1" applyFont="1" applyFill="1" applyAlignment="1">
      <alignment vertical="center" wrapText="1"/>
    </xf>
    <xf numFmtId="165" fontId="5" fillId="5" borderId="0" xfId="0" applyNumberFormat="1" applyFont="1" applyFill="1" applyAlignment="1">
      <alignment vertical="center" wrapText="1"/>
    </xf>
    <xf numFmtId="166" fontId="5" fillId="5" borderId="0" xfId="0" applyNumberFormat="1" applyFont="1" applyFill="1" applyAlignment="1">
      <alignment vertical="center" wrapText="1"/>
    </xf>
    <xf numFmtId="165" fontId="5" fillId="5" borderId="10" xfId="0" applyNumberFormat="1" applyFont="1" applyFill="1" applyBorder="1" applyAlignment="1">
      <alignment vertical="center" wrapText="1"/>
    </xf>
    <xf numFmtId="164" fontId="4" fillId="6" borderId="5" xfId="0" applyNumberFormat="1" applyFont="1" applyFill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9" fillId="7" borderId="7" xfId="0" applyFont="1" applyFill="1" applyBorder="1" applyAlignment="1">
      <alignment vertical="center" wrapText="1"/>
    </xf>
    <xf numFmtId="0" fontId="9" fillId="7" borderId="0" xfId="0" applyFont="1" applyFill="1" applyAlignment="1">
      <alignment vertical="center" wrapText="1"/>
    </xf>
    <xf numFmtId="0" fontId="9" fillId="7" borderId="8" xfId="0" applyFont="1" applyFill="1" applyBorder="1" applyAlignment="1">
      <alignment vertical="center" wrapText="1"/>
    </xf>
    <xf numFmtId="0" fontId="4" fillId="6" borderId="15" xfId="0" applyFont="1" applyFill="1" applyBorder="1" applyAlignment="1">
      <alignment vertical="center" wrapText="1"/>
    </xf>
    <xf numFmtId="0" fontId="4" fillId="6" borderId="16" xfId="0" applyFont="1" applyFill="1" applyBorder="1" applyAlignment="1">
      <alignment vertical="center" wrapText="1"/>
    </xf>
    <xf numFmtId="164" fontId="7" fillId="0" borderId="5" xfId="0" applyNumberFormat="1" applyFont="1" applyBorder="1" applyAlignment="1">
      <alignment vertical="center" wrapText="1"/>
    </xf>
    <xf numFmtId="164" fontId="8" fillId="0" borderId="5" xfId="0" applyNumberFormat="1" applyFont="1" applyBorder="1" applyAlignment="1">
      <alignment vertical="center" wrapText="1"/>
    </xf>
    <xf numFmtId="164" fontId="7" fillId="0" borderId="0" xfId="0" applyNumberFormat="1" applyFont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164" fontId="9" fillId="7" borderId="0" xfId="0" applyNumberFormat="1" applyFont="1" applyFill="1" applyAlignment="1">
      <alignment vertical="center" wrapText="1"/>
    </xf>
    <xf numFmtId="164" fontId="4" fillId="7" borderId="0" xfId="0" applyNumberFormat="1" applyFont="1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164" fontId="4" fillId="6" borderId="16" xfId="0" applyNumberFormat="1" applyFont="1" applyFill="1" applyBorder="1" applyAlignment="1">
      <alignment vertical="center" wrapText="1"/>
    </xf>
    <xf numFmtId="165" fontId="7" fillId="0" borderId="0" xfId="0" applyNumberFormat="1" applyFont="1" applyAlignment="1">
      <alignment vertical="center" wrapText="1"/>
    </xf>
    <xf numFmtId="167" fontId="7" fillId="0" borderId="10" xfId="0" applyNumberFormat="1" applyFont="1" applyBorder="1" applyAlignment="1">
      <alignment vertical="center" wrapText="1"/>
    </xf>
    <xf numFmtId="167" fontId="0" fillId="0" borderId="10" xfId="0" applyNumberFormat="1" applyBorder="1" applyAlignment="1">
      <alignment vertical="center" wrapText="1"/>
    </xf>
    <xf numFmtId="167" fontId="8" fillId="0" borderId="10" xfId="0" applyNumberFormat="1" applyFont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9" fillId="6" borderId="15" xfId="0" applyFont="1" applyFill="1" applyBorder="1" applyAlignment="1">
      <alignment vertical="center" wrapText="1"/>
    </xf>
    <xf numFmtId="0" fontId="9" fillId="6" borderId="16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vertical="center" wrapText="1"/>
    </xf>
    <xf numFmtId="164" fontId="9" fillId="6" borderId="16" xfId="0" applyNumberFormat="1" applyFont="1" applyFill="1" applyBorder="1" applyAlignment="1">
      <alignment vertical="center" wrapText="1"/>
    </xf>
    <xf numFmtId="164" fontId="3" fillId="2" borderId="10" xfId="0" applyNumberFormat="1" applyFont="1" applyFill="1" applyBorder="1" applyAlignment="1">
      <alignment vertical="center" wrapText="1"/>
    </xf>
    <xf numFmtId="168" fontId="7" fillId="0" borderId="5" xfId="0" applyNumberFormat="1" applyFont="1" applyBorder="1" applyAlignment="1">
      <alignment vertical="center" wrapText="1"/>
    </xf>
    <xf numFmtId="168" fontId="7" fillId="0" borderId="0" xfId="0" applyNumberFormat="1" applyFont="1" applyAlignment="1">
      <alignment vertical="center" wrapText="1"/>
    </xf>
    <xf numFmtId="168" fontId="9" fillId="6" borderId="16" xfId="0" applyNumberFormat="1" applyFont="1" applyFill="1" applyBorder="1" applyAlignment="1">
      <alignment vertical="center" wrapText="1"/>
    </xf>
    <xf numFmtId="168" fontId="0" fillId="0" borderId="0" xfId="0" applyNumberFormat="1" applyAlignment="1">
      <alignment vertical="center" wrapText="1"/>
    </xf>
    <xf numFmtId="164" fontId="0" fillId="0" borderId="5" xfId="0" applyNumberFormat="1" applyBorder="1" applyAlignment="1">
      <alignment vertical="center" wrapText="1"/>
    </xf>
    <xf numFmtId="164" fontId="7" fillId="0" borderId="10" xfId="0" applyNumberFormat="1" applyFont="1" applyBorder="1" applyAlignment="1">
      <alignment vertical="center" wrapText="1"/>
    </xf>
    <xf numFmtId="164" fontId="0" fillId="0" borderId="10" xfId="0" applyNumberFormat="1" applyBorder="1" applyAlignment="1">
      <alignment vertical="center" wrapText="1"/>
    </xf>
    <xf numFmtId="164" fontId="8" fillId="0" borderId="10" xfId="0" applyNumberFormat="1" applyFont="1" applyBorder="1" applyAlignment="1">
      <alignment vertical="center" wrapText="1"/>
    </xf>
    <xf numFmtId="1" fontId="0" fillId="0" borderId="4" xfId="0" applyNumberFormat="1" applyBorder="1" applyAlignment="1">
      <alignment vertical="center" wrapText="1"/>
    </xf>
    <xf numFmtId="1" fontId="0" fillId="0" borderId="7" xfId="0" applyNumberFormat="1" applyBorder="1" applyAlignment="1">
      <alignment vertical="center" wrapText="1"/>
    </xf>
    <xf numFmtId="1" fontId="0" fillId="0" borderId="9" xfId="0" applyNumberFormat="1" applyBorder="1" applyAlignment="1">
      <alignment vertical="center" wrapText="1"/>
    </xf>
    <xf numFmtId="1" fontId="8" fillId="0" borderId="6" xfId="0" applyNumberFormat="1" applyFont="1" applyBorder="1" applyAlignment="1">
      <alignment vertical="center" wrapText="1"/>
    </xf>
    <xf numFmtId="1" fontId="8" fillId="0" borderId="8" xfId="0" applyNumberFormat="1" applyFont="1" applyBorder="1" applyAlignment="1">
      <alignment vertical="center" wrapText="1"/>
    </xf>
    <xf numFmtId="1" fontId="8" fillId="0" borderId="11" xfId="0" applyNumberFormat="1" applyFont="1" applyBorder="1" applyAlignment="1">
      <alignment vertical="center" wrapText="1"/>
    </xf>
    <xf numFmtId="166" fontId="8" fillId="0" borderId="0" xfId="0" applyNumberFormat="1" applyFont="1" applyAlignment="1">
      <alignment vertical="center" wrapText="1"/>
    </xf>
    <xf numFmtId="165" fontId="0" fillId="0" borderId="5" xfId="0" applyNumberFormat="1" applyBorder="1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0" borderId="10" xfId="0" applyNumberFormat="1" applyBorder="1" applyAlignment="1">
      <alignment vertical="center" wrapText="1"/>
    </xf>
    <xf numFmtId="165" fontId="8" fillId="0" borderId="5" xfId="0" applyNumberFormat="1" applyFont="1" applyBorder="1" applyAlignment="1">
      <alignment vertical="center" wrapText="1"/>
    </xf>
    <xf numFmtId="167" fontId="8" fillId="0" borderId="6" xfId="0" applyNumberFormat="1" applyFont="1" applyBorder="1" applyAlignment="1">
      <alignment vertical="center" wrapText="1"/>
    </xf>
    <xf numFmtId="165" fontId="8" fillId="0" borderId="0" xfId="0" applyNumberFormat="1" applyFont="1" applyAlignment="1">
      <alignment vertical="center" wrapText="1"/>
    </xf>
    <xf numFmtId="167" fontId="8" fillId="0" borderId="8" xfId="0" applyNumberFormat="1" applyFont="1" applyBorder="1" applyAlignment="1">
      <alignment vertical="center" wrapText="1"/>
    </xf>
    <xf numFmtId="165" fontId="8" fillId="0" borderId="10" xfId="0" applyNumberFormat="1" applyFont="1" applyBorder="1" applyAlignment="1">
      <alignment vertical="center" wrapText="1"/>
    </xf>
    <xf numFmtId="167" fontId="8" fillId="0" borderId="11" xfId="0" applyNumberFormat="1" applyFont="1" applyBorder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1" fontId="5" fillId="0" borderId="10" xfId="0" applyNumberFormat="1" applyFont="1" applyBorder="1" applyAlignment="1">
      <alignment vertical="center" wrapText="1"/>
    </xf>
    <xf numFmtId="1" fontId="7" fillId="0" borderId="10" xfId="0" applyNumberFormat="1" applyFont="1" applyBorder="1" applyAlignment="1">
      <alignment vertical="center" wrapText="1"/>
    </xf>
    <xf numFmtId="169" fontId="8" fillId="0" borderId="10" xfId="0" applyNumberFormat="1" applyFont="1" applyBorder="1" applyAlignment="1">
      <alignment vertical="center" wrapText="1"/>
    </xf>
    <xf numFmtId="164" fontId="5" fillId="0" borderId="5" xfId="0" applyNumberFormat="1" applyFont="1" applyBorder="1" applyAlignment="1">
      <alignment vertical="center" wrapText="1"/>
    </xf>
    <xf numFmtId="164" fontId="5" fillId="0" borderId="10" xfId="0" applyNumberFormat="1" applyFont="1" applyBorder="1" applyAlignment="1">
      <alignment vertical="center" wrapText="1"/>
    </xf>
    <xf numFmtId="164" fontId="7" fillId="0" borderId="6" xfId="0" applyNumberFormat="1" applyFont="1" applyBorder="1" applyAlignment="1">
      <alignment vertical="center" wrapText="1"/>
    </xf>
    <xf numFmtId="164" fontId="7" fillId="0" borderId="8" xfId="0" applyNumberFormat="1" applyFont="1" applyBorder="1" applyAlignment="1">
      <alignment vertical="center" wrapText="1"/>
    </xf>
    <xf numFmtId="164" fontId="7" fillId="0" borderId="11" xfId="0" applyNumberFormat="1" applyFont="1" applyBorder="1" applyAlignment="1">
      <alignment vertical="center" wrapText="1"/>
    </xf>
    <xf numFmtId="0" fontId="6" fillId="8" borderId="9" xfId="0" applyFont="1" applyFill="1" applyBorder="1" applyAlignment="1">
      <alignment vertical="center" wrapText="1"/>
    </xf>
    <xf numFmtId="0" fontId="6" fillId="8" borderId="10" xfId="0" applyFont="1" applyFill="1" applyBorder="1" applyAlignment="1">
      <alignment vertical="center" wrapText="1"/>
    </xf>
    <xf numFmtId="0" fontId="6" fillId="8" borderId="11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wrapText="1"/>
    </xf>
    <xf numFmtId="0" fontId="3" fillId="2" borderId="0" xfId="0" applyFont="1" applyFill="1" applyAlignment="1">
      <alignment horizontal="left" vertical="center"/>
    </xf>
    <xf numFmtId="0" fontId="10" fillId="5" borderId="0" xfId="0" applyFont="1" applyFill="1" applyAlignment="1">
      <alignment vertical="top" wrapText="1"/>
    </xf>
    <xf numFmtId="0" fontId="10" fillId="3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164" fontId="11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6">
    <dxf>
      <font>
        <color rgb="FFC00000"/>
      </font>
      <fill>
        <patternFill>
          <bgColor rgb="FFF4CCCC"/>
        </patternFill>
      </fill>
    </dxf>
    <dxf>
      <font>
        <b/>
        <color rgb="FF548235"/>
      </font>
      <fill>
        <patternFill>
          <bgColor rgb="FFD9EAD3"/>
        </patternFill>
      </fill>
    </dxf>
    <dxf>
      <font>
        <b/>
        <color rgb="FF548235"/>
      </font>
      <fill>
        <patternFill>
          <bgColor rgb="FFD9EAD3"/>
        </patternFill>
      </fill>
    </dxf>
    <dxf>
      <font>
        <color rgb="FFC00000"/>
      </font>
      <fill>
        <patternFill>
          <bgColor rgb="FFF4CCCC"/>
        </patternFill>
      </fill>
    </dxf>
    <dxf>
      <font>
        <b/>
        <color rgb="FF548235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Inversión inicial</c:v>
          </c:tx>
          <c:invertIfNegative val="1"/>
          <c:cat>
            <c:strRef>
              <c:f>Resumen!$B$16:$C$16</c:f>
              <c:strCache>
                <c:ptCount val="2"/>
                <c:pt idx="0">
                  <c:v>Inicial</c:v>
                </c:pt>
                <c:pt idx="1">
                  <c:v>Final</c:v>
                </c:pt>
              </c:strCache>
            </c:strRef>
          </c:cat>
          <c:val>
            <c:numRef>
              <c:f>Resumen!$B$17:$C$17</c:f>
              <c:numCache>
                <c:formatCode>"$"#,##0;[Red]\("$"#,##0\);\-</c:formatCode>
                <c:ptCount val="2"/>
                <c:pt idx="0">
                  <c:v>44770000</c:v>
                </c:pt>
                <c:pt idx="1">
                  <c:v>7499682.1428571427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DE-4193-B4B9-54F0919C0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$&quot;#,##0;[Red]\(&quot;$&quot;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opLeftCell="A13" workbookViewId="0">
      <selection activeCell="D33" sqref="D33"/>
    </sheetView>
  </sheetViews>
  <sheetFormatPr defaultRowHeight="14.25"/>
  <cols>
    <col min="1" max="1" width="33" customWidth="1"/>
    <col min="2" max="2" width="18" customWidth="1"/>
    <col min="3" max="3" width="14" customWidth="1"/>
    <col min="4" max="4" width="58" customWidth="1"/>
  </cols>
  <sheetData>
    <row r="1" spans="1:4" ht="27.95" customHeight="1">
      <c r="A1" s="92" t="s">
        <v>210</v>
      </c>
      <c r="B1" s="93"/>
      <c r="C1" s="93"/>
      <c r="D1" s="93"/>
    </row>
    <row r="2" spans="1:4" ht="15" customHeight="1">
      <c r="A2" s="94" t="s">
        <v>211</v>
      </c>
      <c r="B2" s="94"/>
      <c r="C2" s="94"/>
      <c r="D2" s="94"/>
    </row>
    <row r="4" spans="1:4" ht="15">
      <c r="A4" s="95" t="s">
        <v>0</v>
      </c>
      <c r="B4" s="93"/>
      <c r="C4" s="93"/>
      <c r="D4" s="93"/>
    </row>
    <row r="5" spans="1:4" ht="15">
      <c r="A5" s="2" t="s">
        <v>1</v>
      </c>
      <c r="B5" s="3" t="s">
        <v>2</v>
      </c>
      <c r="C5" s="3" t="s">
        <v>3</v>
      </c>
      <c r="D5" s="4" t="s">
        <v>4</v>
      </c>
    </row>
    <row r="6" spans="1:4" ht="28.5">
      <c r="A6" s="5" t="s">
        <v>5</v>
      </c>
      <c r="B6" s="14">
        <v>658</v>
      </c>
      <c r="C6" s="6" t="s">
        <v>6</v>
      </c>
      <c r="D6" s="7" t="s">
        <v>7</v>
      </c>
    </row>
    <row r="7" spans="1:4" ht="28.5">
      <c r="A7" s="8" t="s">
        <v>8</v>
      </c>
      <c r="B7" s="15">
        <v>7</v>
      </c>
      <c r="C7" s="9" t="s">
        <v>9</v>
      </c>
      <c r="D7" s="10" t="s">
        <v>10</v>
      </c>
    </row>
    <row r="8" spans="1:4" ht="28.5">
      <c r="A8" s="8" t="s">
        <v>11</v>
      </c>
      <c r="B8" s="15">
        <v>160</v>
      </c>
      <c r="C8" s="9" t="s">
        <v>12</v>
      </c>
      <c r="D8" s="10" t="s">
        <v>13</v>
      </c>
    </row>
    <row r="9" spans="1:4" ht="28.5">
      <c r="A9" s="11" t="s">
        <v>14</v>
      </c>
      <c r="B9" s="16">
        <v>11180000</v>
      </c>
      <c r="C9" s="12" t="s">
        <v>15</v>
      </c>
      <c r="D9" s="13" t="s">
        <v>16</v>
      </c>
    </row>
    <row r="10" spans="1:4" ht="15">
      <c r="A10" s="17" t="s">
        <v>17</v>
      </c>
      <c r="B10" s="20">
        <f>B9/(B7*B8)</f>
        <v>9982.1428571428569</v>
      </c>
      <c r="C10" s="18" t="s">
        <v>18</v>
      </c>
      <c r="D10" s="19" t="s">
        <v>19</v>
      </c>
    </row>
    <row r="12" spans="1:4" ht="15">
      <c r="A12" s="95" t="s">
        <v>20</v>
      </c>
      <c r="B12" s="93"/>
      <c r="C12" s="93"/>
      <c r="D12" s="93"/>
    </row>
    <row r="13" spans="1:4" ht="15">
      <c r="A13" s="2" t="s">
        <v>1</v>
      </c>
      <c r="B13" s="3" t="s">
        <v>2</v>
      </c>
      <c r="C13" s="3" t="s">
        <v>3</v>
      </c>
      <c r="D13" s="4" t="s">
        <v>4</v>
      </c>
    </row>
    <row r="14" spans="1:4">
      <c r="A14" s="5" t="s">
        <v>21</v>
      </c>
      <c r="B14" s="14">
        <v>12</v>
      </c>
      <c r="C14" s="6" t="s">
        <v>6</v>
      </c>
      <c r="D14" s="7" t="s">
        <v>22</v>
      </c>
    </row>
    <row r="15" spans="1:4">
      <c r="A15" s="8" t="s">
        <v>23</v>
      </c>
      <c r="B15" s="15">
        <v>8</v>
      </c>
      <c r="C15" s="9" t="s">
        <v>6</v>
      </c>
      <c r="D15" s="10" t="s">
        <v>24</v>
      </c>
    </row>
    <row r="16" spans="1:4">
      <c r="A16" s="8" t="s">
        <v>25</v>
      </c>
      <c r="B16" s="21">
        <v>50000</v>
      </c>
      <c r="C16" s="9" t="s">
        <v>26</v>
      </c>
      <c r="D16" s="10" t="s">
        <v>27</v>
      </c>
    </row>
    <row r="17" spans="1:4">
      <c r="A17" s="8" t="s">
        <v>28</v>
      </c>
      <c r="B17" s="22">
        <v>0.1</v>
      </c>
      <c r="C17" s="9" t="s">
        <v>29</v>
      </c>
      <c r="D17" s="10" t="s">
        <v>30</v>
      </c>
    </row>
    <row r="18" spans="1:4" ht="28.5">
      <c r="A18" s="8" t="s">
        <v>31</v>
      </c>
      <c r="B18" s="15">
        <v>8</v>
      </c>
      <c r="C18" s="9" t="s">
        <v>32</v>
      </c>
      <c r="D18" s="10" t="s">
        <v>33</v>
      </c>
    </row>
    <row r="19" spans="1:4" ht="28.5">
      <c r="A19" s="8" t="s">
        <v>34</v>
      </c>
      <c r="B19" s="21">
        <v>0</v>
      </c>
      <c r="C19" s="9" t="s">
        <v>15</v>
      </c>
      <c r="D19" s="10" t="s">
        <v>35</v>
      </c>
    </row>
    <row r="20" spans="1:4" ht="28.5">
      <c r="A20" s="8" t="s">
        <v>36</v>
      </c>
      <c r="B20" s="15">
        <v>18</v>
      </c>
      <c r="C20" s="9" t="s">
        <v>37</v>
      </c>
      <c r="D20" s="10" t="s">
        <v>38</v>
      </c>
    </row>
    <row r="21" spans="1:4" ht="28.5">
      <c r="A21" s="8" t="s">
        <v>39</v>
      </c>
      <c r="B21" s="23">
        <v>9.6945159350000001E-3</v>
      </c>
      <c r="C21" s="9" t="s">
        <v>40</v>
      </c>
      <c r="D21" s="10" t="s">
        <v>41</v>
      </c>
    </row>
    <row r="22" spans="1:4" ht="28.5">
      <c r="A22" s="11" t="s">
        <v>212</v>
      </c>
      <c r="B22" s="24">
        <v>4000000</v>
      </c>
      <c r="C22" s="12" t="s">
        <v>15</v>
      </c>
      <c r="D22" s="13" t="s">
        <v>213</v>
      </c>
    </row>
    <row r="23" spans="1:4">
      <c r="A23" t="s">
        <v>214</v>
      </c>
      <c r="B23">
        <v>0.25</v>
      </c>
      <c r="C23" t="s">
        <v>29</v>
      </c>
      <c r="D23" t="s">
        <v>215</v>
      </c>
    </row>
    <row r="24" spans="1:4" ht="15">
      <c r="A24" s="5" t="s">
        <v>216</v>
      </c>
      <c r="B24" s="25">
        <f>B22*B23</f>
        <v>1000000</v>
      </c>
      <c r="C24" s="6" t="s">
        <v>15</v>
      </c>
      <c r="D24" s="7" t="s">
        <v>217</v>
      </c>
    </row>
    <row r="25" spans="1:4" ht="66" customHeight="1">
      <c r="A25" s="89"/>
      <c r="B25" s="90"/>
      <c r="C25" s="90"/>
      <c r="D25" s="91"/>
    </row>
  </sheetData>
  <mergeCells count="4">
    <mergeCell ref="A1:D1"/>
    <mergeCell ref="A2:D2"/>
    <mergeCell ref="A4:D4"/>
    <mergeCell ref="A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sqref="A1:E1"/>
    </sheetView>
  </sheetViews>
  <sheetFormatPr defaultRowHeight="14.25"/>
  <cols>
    <col min="1" max="1" width="29" customWidth="1"/>
    <col min="2" max="3" width="18" customWidth="1"/>
    <col min="4" max="4" width="20" customWidth="1"/>
    <col min="5" max="5" width="55" customWidth="1"/>
  </cols>
  <sheetData>
    <row r="1" spans="1:5" ht="27.95" customHeight="1">
      <c r="A1" s="92" t="s">
        <v>218</v>
      </c>
      <c r="B1" s="93"/>
      <c r="C1" s="93"/>
      <c r="D1" s="93"/>
      <c r="E1" s="93"/>
    </row>
    <row r="2" spans="1:5" ht="15" customHeight="1">
      <c r="A2" s="94" t="s">
        <v>42</v>
      </c>
      <c r="B2" s="94"/>
      <c r="C2" s="94"/>
      <c r="D2" s="94"/>
      <c r="E2" s="94"/>
    </row>
    <row r="4" spans="1:5" ht="15">
      <c r="A4" s="2" t="s">
        <v>43</v>
      </c>
      <c r="B4" s="3" t="s">
        <v>44</v>
      </c>
      <c r="C4" s="3" t="s">
        <v>45</v>
      </c>
      <c r="D4" s="3" t="s">
        <v>46</v>
      </c>
      <c r="E4" s="4" t="s">
        <v>47</v>
      </c>
    </row>
    <row r="5" spans="1:5">
      <c r="A5" s="5" t="s">
        <v>48</v>
      </c>
      <c r="B5" s="26">
        <f>Supuestos!B6</f>
        <v>658</v>
      </c>
      <c r="C5" s="34">
        <f>Supuestos!B10</f>
        <v>9982.1428571428569</v>
      </c>
      <c r="D5" s="35">
        <f>B5*C5</f>
        <v>6568250</v>
      </c>
      <c r="E5" s="7" t="s">
        <v>49</v>
      </c>
    </row>
    <row r="6" spans="1:5">
      <c r="A6" s="8" t="s">
        <v>50</v>
      </c>
      <c r="B6" s="27">
        <f>Supuestos!B14</f>
        <v>12</v>
      </c>
      <c r="C6" s="36">
        <f>Supuestos!B10</f>
        <v>9982.1428571428569</v>
      </c>
      <c r="D6" s="37">
        <f>B6*C6</f>
        <v>119785.71428571429</v>
      </c>
      <c r="E6" s="10" t="s">
        <v>51</v>
      </c>
    </row>
    <row r="7" spans="1:5">
      <c r="A7" s="8" t="s">
        <v>52</v>
      </c>
      <c r="B7" s="27">
        <f>Supuestos!B15</f>
        <v>8</v>
      </c>
      <c r="C7" s="36">
        <f>Supuestos!B10</f>
        <v>9982.1428571428569</v>
      </c>
      <c r="D7" s="37">
        <f>B7*C7</f>
        <v>79857.142857142855</v>
      </c>
      <c r="E7" s="10" t="s">
        <v>53</v>
      </c>
    </row>
    <row r="8" spans="1:5">
      <c r="A8" s="8" t="s">
        <v>54</v>
      </c>
      <c r="B8" s="27">
        <v>1</v>
      </c>
      <c r="C8" s="36">
        <f>Supuestos!B16</f>
        <v>50000</v>
      </c>
      <c r="D8" s="37">
        <f>B8*C8</f>
        <v>50000</v>
      </c>
      <c r="E8" s="10" t="s">
        <v>55</v>
      </c>
    </row>
    <row r="9" spans="1:5" ht="15">
      <c r="A9" s="29" t="s">
        <v>56</v>
      </c>
      <c r="B9" s="30"/>
      <c r="C9" s="38"/>
      <c r="D9" s="39">
        <f>SUM(D5:D8)</f>
        <v>6817892.8571428573</v>
      </c>
      <c r="E9" s="31" t="s">
        <v>57</v>
      </c>
    </row>
    <row r="10" spans="1:5">
      <c r="A10" s="8" t="s">
        <v>58</v>
      </c>
      <c r="B10" s="42">
        <f>Supuestos!B17</f>
        <v>0.1</v>
      </c>
      <c r="C10" s="40"/>
      <c r="D10" s="37">
        <f>D9*B10</f>
        <v>681789.2857142858</v>
      </c>
      <c r="E10" s="10" t="s">
        <v>59</v>
      </c>
    </row>
    <row r="11" spans="1:5" ht="30">
      <c r="A11" s="32" t="s">
        <v>60</v>
      </c>
      <c r="B11" s="33"/>
      <c r="C11" s="41"/>
      <c r="D11" s="41">
        <f>D9+D10</f>
        <v>7499682.1428571427</v>
      </c>
      <c r="E11" s="33" t="s">
        <v>61</v>
      </c>
    </row>
    <row r="12" spans="1:5">
      <c r="A12" s="8"/>
      <c r="B12" s="9"/>
      <c r="C12" s="9"/>
      <c r="D12" s="9"/>
      <c r="E12" s="10"/>
    </row>
    <row r="13" spans="1:5">
      <c r="A13" s="11" t="s">
        <v>62</v>
      </c>
      <c r="B13" s="43">
        <f>Supuestos!B6/Supuestos!B8</f>
        <v>4.1124999999999998</v>
      </c>
      <c r="C13" s="44" t="s">
        <v>63</v>
      </c>
      <c r="D13" s="45">
        <f>B13</f>
        <v>4.1124999999999998</v>
      </c>
      <c r="E13" s="13" t="s">
        <v>64</v>
      </c>
    </row>
    <row r="15" spans="1:5" ht="15" customHeight="1">
      <c r="A15" s="46" t="s">
        <v>65</v>
      </c>
      <c r="B15" s="47"/>
      <c r="C15" s="47"/>
      <c r="D15" s="47"/>
      <c r="E15" s="48"/>
    </row>
    <row r="16" spans="1:5" ht="15" customHeight="1">
      <c r="A16" s="8" t="s">
        <v>66</v>
      </c>
      <c r="B16" s="9" t="s">
        <v>67</v>
      </c>
      <c r="C16" s="9"/>
      <c r="D16" s="9"/>
      <c r="E16" s="10" t="s">
        <v>68</v>
      </c>
    </row>
    <row r="17" spans="1:5" ht="15" customHeight="1">
      <c r="A17" s="8" t="s">
        <v>219</v>
      </c>
      <c r="B17" s="9" t="s">
        <v>69</v>
      </c>
      <c r="C17" s="9"/>
      <c r="D17" s="9"/>
      <c r="E17" s="10" t="s">
        <v>70</v>
      </c>
    </row>
    <row r="18" spans="1:5" ht="26.45" customHeight="1">
      <c r="A18" s="11" t="s">
        <v>71</v>
      </c>
      <c r="B18" s="12"/>
      <c r="C18" s="12"/>
      <c r="D18" s="12"/>
      <c r="E18" s="13" t="s">
        <v>72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sqref="A1:E1"/>
    </sheetView>
  </sheetViews>
  <sheetFormatPr defaultRowHeight="14.25"/>
  <cols>
    <col min="1" max="1" width="30" customWidth="1"/>
    <col min="2" max="2" width="16" customWidth="1"/>
    <col min="3" max="3" width="18" customWidth="1"/>
    <col min="4" max="4" width="20" customWidth="1"/>
    <col min="5" max="5" width="55" customWidth="1"/>
  </cols>
  <sheetData>
    <row r="1" spans="1:5" ht="27.95" customHeight="1">
      <c r="A1" s="92" t="s">
        <v>73</v>
      </c>
      <c r="B1" s="93"/>
      <c r="C1" s="93"/>
      <c r="D1" s="93"/>
      <c r="E1" s="93"/>
    </row>
    <row r="3" spans="1:5" ht="15">
      <c r="A3" s="2" t="s">
        <v>43</v>
      </c>
      <c r="B3" s="3" t="s">
        <v>44</v>
      </c>
      <c r="C3" s="3" t="s">
        <v>45</v>
      </c>
      <c r="D3" s="3" t="s">
        <v>74</v>
      </c>
      <c r="E3" s="4" t="s">
        <v>75</v>
      </c>
    </row>
    <row r="4" spans="1:5">
      <c r="A4" s="5" t="s">
        <v>76</v>
      </c>
      <c r="B4" s="56">
        <f>Supuestos!B18</f>
        <v>8</v>
      </c>
      <c r="C4" s="34">
        <f>Supuestos!B10</f>
        <v>9982.1428571428569</v>
      </c>
      <c r="D4" s="35">
        <f>B4*C4</f>
        <v>79857.142857142855</v>
      </c>
      <c r="E4" s="7" t="s">
        <v>77</v>
      </c>
    </row>
    <row r="5" spans="1:5">
      <c r="A5" s="8" t="s">
        <v>78</v>
      </c>
      <c r="B5" s="57">
        <v>1</v>
      </c>
      <c r="C5" s="36">
        <f>Supuestos!B19</f>
        <v>0</v>
      </c>
      <c r="D5" s="37">
        <f>B5*C5</f>
        <v>0</v>
      </c>
      <c r="E5" s="10" t="s">
        <v>79</v>
      </c>
    </row>
    <row r="6" spans="1:5" ht="15">
      <c r="A6" s="49" t="s">
        <v>80</v>
      </c>
      <c r="B6" s="58"/>
      <c r="C6" s="54"/>
      <c r="D6" s="41">
        <f>SUM(D4:D5)</f>
        <v>79857.142857142855</v>
      </c>
      <c r="E6" s="50"/>
    </row>
    <row r="7" spans="1:5">
      <c r="A7" s="8" t="s">
        <v>81</v>
      </c>
      <c r="B7" s="59">
        <v>12</v>
      </c>
      <c r="C7" s="40"/>
      <c r="D7" s="37">
        <f>D6*B7</f>
        <v>958285.71428571432</v>
      </c>
      <c r="E7" s="10" t="s">
        <v>82</v>
      </c>
    </row>
    <row r="8" spans="1:5">
      <c r="A8" s="8" t="s">
        <v>83</v>
      </c>
      <c r="B8" s="57">
        <f>Supuestos!B20</f>
        <v>18</v>
      </c>
      <c r="C8" s="40"/>
      <c r="D8" s="37">
        <f>D6*B8</f>
        <v>1437428.5714285714</v>
      </c>
      <c r="E8" s="10" t="s">
        <v>84</v>
      </c>
    </row>
    <row r="9" spans="1:5">
      <c r="A9" s="8"/>
      <c r="B9" s="9"/>
      <c r="C9" s="40"/>
      <c r="D9" s="40"/>
      <c r="E9" s="10"/>
    </row>
    <row r="10" spans="1:5" ht="15">
      <c r="A10" s="51" t="s">
        <v>85</v>
      </c>
      <c r="B10" s="52"/>
      <c r="C10" s="55"/>
      <c r="D10" s="55">
        <f>'Costos Iniciales'!D11+D8</f>
        <v>8937110.7142857146</v>
      </c>
      <c r="E10" s="53" t="s">
        <v>86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topLeftCell="A22" workbookViewId="0">
      <selection sqref="A1:I1"/>
    </sheetView>
  </sheetViews>
  <sheetFormatPr defaultRowHeight="14.25"/>
  <cols>
    <col min="1" max="1" width="9" customWidth="1"/>
    <col min="2" max="2" width="12" customWidth="1"/>
    <col min="3" max="8" width="18" customWidth="1"/>
    <col min="9" max="9" width="12" customWidth="1"/>
  </cols>
  <sheetData>
    <row r="1" spans="1:9" ht="27.95" customHeight="1">
      <c r="A1" s="92" t="s">
        <v>220</v>
      </c>
      <c r="B1" s="93"/>
      <c r="C1" s="93"/>
      <c r="D1" s="93"/>
      <c r="E1" s="93"/>
      <c r="F1" s="93"/>
      <c r="G1" s="93"/>
      <c r="H1" s="93"/>
      <c r="I1" s="93"/>
    </row>
    <row r="2" spans="1:9" ht="15" customHeight="1">
      <c r="A2" s="94" t="s">
        <v>221</v>
      </c>
      <c r="B2" s="94"/>
      <c r="C2" s="94"/>
      <c r="D2" s="94"/>
      <c r="E2" s="94"/>
      <c r="F2" s="94"/>
      <c r="G2" s="94"/>
      <c r="H2" s="94"/>
      <c r="I2" s="94"/>
    </row>
    <row r="4" spans="1:9" ht="30">
      <c r="A4" s="2" t="s">
        <v>87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  <c r="G4" s="3" t="s">
        <v>93</v>
      </c>
      <c r="H4" s="3" t="s">
        <v>94</v>
      </c>
      <c r="I4" s="4" t="s">
        <v>95</v>
      </c>
    </row>
    <row r="5" spans="1:9">
      <c r="A5" s="64">
        <v>0</v>
      </c>
      <c r="B5" s="6" t="s">
        <v>96</v>
      </c>
      <c r="C5" s="60">
        <v>0</v>
      </c>
      <c r="D5" s="60">
        <v>0</v>
      </c>
      <c r="E5" s="34">
        <f>-'Costos Iniciales'!D11</f>
        <v>-7499682.1428571427</v>
      </c>
      <c r="F5" s="35">
        <f t="shared" ref="F5:F23" si="0">C5-D5+E5</f>
        <v>-7499682.1428571427</v>
      </c>
      <c r="G5" s="35">
        <f>F5</f>
        <v>-7499682.1428571427</v>
      </c>
      <c r="H5" s="35">
        <f>G5</f>
        <v>-7499682.1428571427</v>
      </c>
      <c r="I5" s="67">
        <f t="shared" ref="I5:I23" si="1">IF(H5&gt;=0,1,0)</f>
        <v>0</v>
      </c>
    </row>
    <row r="6" spans="1:9">
      <c r="A6" s="65">
        <v>1</v>
      </c>
      <c r="B6" s="9" t="s">
        <v>97</v>
      </c>
      <c r="C6" s="36">
        <f>Supuestos!$B$24</f>
        <v>1000000</v>
      </c>
      <c r="D6" s="36">
        <f>Operación!$D$6</f>
        <v>79857.142857142855</v>
      </c>
      <c r="E6" s="40">
        <v>0</v>
      </c>
      <c r="F6" s="37">
        <f t="shared" si="0"/>
        <v>920142.85714285716</v>
      </c>
      <c r="G6" s="37">
        <f>F6/(1+Supuestos!$B$21)^A6</f>
        <v>911308.16560965881</v>
      </c>
      <c r="H6" s="37">
        <f t="shared" ref="H6:H23" si="2">H5+G6</f>
        <v>-6588373.977247484</v>
      </c>
      <c r="I6" s="68">
        <f t="shared" si="1"/>
        <v>0</v>
      </c>
    </row>
    <row r="7" spans="1:9">
      <c r="A7" s="65">
        <v>2</v>
      </c>
      <c r="B7" s="9" t="s">
        <v>98</v>
      </c>
      <c r="C7" s="36">
        <f>Supuestos!$B$24</f>
        <v>1000000</v>
      </c>
      <c r="D7" s="36">
        <f>Operación!$D$6</f>
        <v>79857.142857142855</v>
      </c>
      <c r="E7" s="40">
        <v>0</v>
      </c>
      <c r="F7" s="37">
        <f t="shared" si="0"/>
        <v>920142.85714285716</v>
      </c>
      <c r="G7" s="37">
        <f>F7/(1+Supuestos!$B$21)^A7</f>
        <v>902558.29979007738</v>
      </c>
      <c r="H7" s="37">
        <f t="shared" si="2"/>
        <v>-5685815.6774574071</v>
      </c>
      <c r="I7" s="68">
        <f t="shared" si="1"/>
        <v>0</v>
      </c>
    </row>
    <row r="8" spans="1:9">
      <c r="A8" s="65">
        <v>3</v>
      </c>
      <c r="B8" s="9" t="s">
        <v>99</v>
      </c>
      <c r="C8" s="36">
        <f>Supuestos!$B$24</f>
        <v>1000000</v>
      </c>
      <c r="D8" s="36">
        <f>Operación!$D$6</f>
        <v>79857.142857142855</v>
      </c>
      <c r="E8" s="40">
        <v>0</v>
      </c>
      <c r="F8" s="37">
        <f t="shared" si="0"/>
        <v>920142.85714285716</v>
      </c>
      <c r="G8" s="37">
        <f>F8/(1+Supuestos!$B$21)^A8</f>
        <v>893892.44523556507</v>
      </c>
      <c r="H8" s="37">
        <f t="shared" si="2"/>
        <v>-4791923.2322218418</v>
      </c>
      <c r="I8" s="68">
        <f t="shared" si="1"/>
        <v>0</v>
      </c>
    </row>
    <row r="9" spans="1:9">
      <c r="A9" s="65">
        <v>4</v>
      </c>
      <c r="B9" s="9" t="s">
        <v>100</v>
      </c>
      <c r="C9" s="36">
        <f>Supuestos!$B$24</f>
        <v>1000000</v>
      </c>
      <c r="D9" s="36">
        <f>Operación!$D$6</f>
        <v>79857.142857142855</v>
      </c>
      <c r="E9" s="40">
        <v>0</v>
      </c>
      <c r="F9" s="37">
        <f t="shared" si="0"/>
        <v>920142.85714285716</v>
      </c>
      <c r="G9" s="37">
        <f>F9/(1+Supuestos!$B$21)^A9</f>
        <v>885309.79531744856</v>
      </c>
      <c r="H9" s="37">
        <f t="shared" si="2"/>
        <v>-3906613.4369043931</v>
      </c>
      <c r="I9" s="68">
        <f t="shared" si="1"/>
        <v>0</v>
      </c>
    </row>
    <row r="10" spans="1:9">
      <c r="A10" s="65">
        <v>5</v>
      </c>
      <c r="B10" s="9" t="s">
        <v>101</v>
      </c>
      <c r="C10" s="36">
        <f>Supuestos!$B$24</f>
        <v>1000000</v>
      </c>
      <c r="D10" s="36">
        <f>Operación!$D$6</f>
        <v>79857.142857142855</v>
      </c>
      <c r="E10" s="40">
        <v>0</v>
      </c>
      <c r="F10" s="37">
        <f t="shared" si="0"/>
        <v>920142.85714285716</v>
      </c>
      <c r="G10" s="37">
        <f>F10/(1+Supuestos!$B$21)^A10</f>
        <v>876809.55115184677</v>
      </c>
      <c r="H10" s="37">
        <f t="shared" si="2"/>
        <v>-3029803.8857525466</v>
      </c>
      <c r="I10" s="68">
        <f t="shared" si="1"/>
        <v>0</v>
      </c>
    </row>
    <row r="11" spans="1:9">
      <c r="A11" s="65">
        <v>6</v>
      </c>
      <c r="B11" s="9" t="s">
        <v>102</v>
      </c>
      <c r="C11" s="36">
        <f>Supuestos!$B$24</f>
        <v>1000000</v>
      </c>
      <c r="D11" s="36">
        <f>Operación!$D$6</f>
        <v>79857.142857142855</v>
      </c>
      <c r="E11" s="40">
        <v>0</v>
      </c>
      <c r="F11" s="37">
        <f t="shared" si="0"/>
        <v>920142.85714285716</v>
      </c>
      <c r="G11" s="37">
        <f>F11/(1+Supuestos!$B$21)^A11</f>
        <v>868390.92152531038</v>
      </c>
      <c r="H11" s="37">
        <f t="shared" si="2"/>
        <v>-2161412.9642272363</v>
      </c>
      <c r="I11" s="68">
        <f t="shared" si="1"/>
        <v>0</v>
      </c>
    </row>
    <row r="12" spans="1:9">
      <c r="A12" s="65">
        <v>7</v>
      </c>
      <c r="B12" s="9" t="s">
        <v>103</v>
      </c>
      <c r="C12" s="36">
        <f>Supuestos!$B$24</f>
        <v>1000000</v>
      </c>
      <c r="D12" s="36">
        <f>Operación!$D$6</f>
        <v>79857.142857142855</v>
      </c>
      <c r="E12" s="40">
        <v>0</v>
      </c>
      <c r="F12" s="37">
        <f t="shared" si="0"/>
        <v>920142.85714285716</v>
      </c>
      <c r="G12" s="37">
        <f>F12/(1+Supuestos!$B$21)^A12</f>
        <v>860053.1228211741</v>
      </c>
      <c r="H12" s="37">
        <f t="shared" si="2"/>
        <v>-1301359.8414060622</v>
      </c>
      <c r="I12" s="68">
        <f t="shared" si="1"/>
        <v>0</v>
      </c>
    </row>
    <row r="13" spans="1:9">
      <c r="A13" s="65">
        <v>8</v>
      </c>
      <c r="B13" s="9" t="s">
        <v>104</v>
      </c>
      <c r="C13" s="36">
        <f>Supuestos!$B$24</f>
        <v>1000000</v>
      </c>
      <c r="D13" s="36">
        <f>Operación!$D$6</f>
        <v>79857.142857142855</v>
      </c>
      <c r="E13" s="40">
        <v>0</v>
      </c>
      <c r="F13" s="37">
        <f t="shared" si="0"/>
        <v>920142.85714285716</v>
      </c>
      <c r="G13" s="37">
        <f>F13/(1+Supuestos!$B$21)^A13</f>
        <v>851795.37894661678</v>
      </c>
      <c r="H13" s="37">
        <f t="shared" si="2"/>
        <v>-449564.46245944547</v>
      </c>
      <c r="I13" s="68">
        <f t="shared" si="1"/>
        <v>0</v>
      </c>
    </row>
    <row r="14" spans="1:9" ht="15">
      <c r="A14" s="65">
        <v>9</v>
      </c>
      <c r="B14" s="9" t="s">
        <v>105</v>
      </c>
      <c r="C14" s="36">
        <f>Supuestos!$B$24</f>
        <v>1000000</v>
      </c>
      <c r="D14" s="36">
        <f>Operación!$D$6</f>
        <v>79857.142857142855</v>
      </c>
      <c r="E14" s="40">
        <v>0</v>
      </c>
      <c r="F14" s="37">
        <f t="shared" si="0"/>
        <v>920142.85714285716</v>
      </c>
      <c r="G14" s="37">
        <f>F14/(1+Supuestos!$B$21)^A14</f>
        <v>843616.9212604221</v>
      </c>
      <c r="H14" s="37">
        <f t="shared" si="2"/>
        <v>394052.45880097663</v>
      </c>
      <c r="I14" s="68">
        <f t="shared" si="1"/>
        <v>1</v>
      </c>
    </row>
    <row r="15" spans="1:9" ht="15">
      <c r="A15" s="65">
        <v>10</v>
      </c>
      <c r="B15" s="9" t="s">
        <v>106</v>
      </c>
      <c r="C15" s="36">
        <f>Supuestos!$B$24</f>
        <v>1000000</v>
      </c>
      <c r="D15" s="36">
        <f>Operación!$D$6</f>
        <v>79857.142857142855</v>
      </c>
      <c r="E15" s="40">
        <v>0</v>
      </c>
      <c r="F15" s="37">
        <f t="shared" si="0"/>
        <v>920142.85714285716</v>
      </c>
      <c r="G15" s="37">
        <f>F15/(1+Supuestos!$B$21)^A15</f>
        <v>835516.98850143177</v>
      </c>
      <c r="H15" s="37">
        <f t="shared" si="2"/>
        <v>1229569.4473024085</v>
      </c>
      <c r="I15" s="68">
        <f t="shared" si="1"/>
        <v>1</v>
      </c>
    </row>
    <row r="16" spans="1:9" ht="15">
      <c r="A16" s="65">
        <v>11</v>
      </c>
      <c r="B16" s="9" t="s">
        <v>107</v>
      </c>
      <c r="C16" s="36">
        <f>Supuestos!$B$24</f>
        <v>1000000</v>
      </c>
      <c r="D16" s="36">
        <f>Operación!$D$6</f>
        <v>79857.142857142855</v>
      </c>
      <c r="E16" s="40">
        <v>0</v>
      </c>
      <c r="F16" s="37">
        <f t="shared" si="0"/>
        <v>920142.85714285716</v>
      </c>
      <c r="G16" s="37">
        <f>F16/(1+Supuestos!$B$21)^A16</f>
        <v>827494.82671768707</v>
      </c>
      <c r="H16" s="37">
        <f t="shared" si="2"/>
        <v>2057064.2740200956</v>
      </c>
      <c r="I16" s="68">
        <f t="shared" si="1"/>
        <v>1</v>
      </c>
    </row>
    <row r="17" spans="1:9" ht="15">
      <c r="A17" s="65">
        <v>12</v>
      </c>
      <c r="B17" s="9" t="s">
        <v>108</v>
      </c>
      <c r="C17" s="36">
        <f>Supuestos!$B$24</f>
        <v>1000000</v>
      </c>
      <c r="D17" s="36">
        <f>Operación!$D$6</f>
        <v>79857.142857142855</v>
      </c>
      <c r="E17" s="40">
        <v>0</v>
      </c>
      <c r="F17" s="37">
        <f t="shared" si="0"/>
        <v>920142.85714285716</v>
      </c>
      <c r="G17" s="37">
        <f>F17/(1+Supuestos!$B$21)^A17</f>
        <v>819549.68919624982</v>
      </c>
      <c r="H17" s="37">
        <f t="shared" si="2"/>
        <v>2876613.9632163453</v>
      </c>
      <c r="I17" s="68">
        <f t="shared" si="1"/>
        <v>1</v>
      </c>
    </row>
    <row r="18" spans="1:9" ht="15">
      <c r="A18" s="65">
        <v>13</v>
      </c>
      <c r="B18" s="9" t="s">
        <v>109</v>
      </c>
      <c r="C18" s="36">
        <f>Supuestos!$B$24</f>
        <v>1000000</v>
      </c>
      <c r="D18" s="36">
        <f>Operación!$D$6</f>
        <v>79857.142857142855</v>
      </c>
      <c r="E18" s="40">
        <v>0</v>
      </c>
      <c r="F18" s="37">
        <f t="shared" si="0"/>
        <v>920142.85714285716</v>
      </c>
      <c r="G18" s="37">
        <f>F18/(1+Supuestos!$B$21)^A18</f>
        <v>811680.83639369707</v>
      </c>
      <c r="H18" s="37">
        <f t="shared" si="2"/>
        <v>3688294.7996100425</v>
      </c>
      <c r="I18" s="68">
        <f t="shared" si="1"/>
        <v>1</v>
      </c>
    </row>
    <row r="19" spans="1:9" ht="15">
      <c r="A19" s="65">
        <v>14</v>
      </c>
      <c r="B19" s="9" t="s">
        <v>110</v>
      </c>
      <c r="C19" s="36">
        <f>Supuestos!$B$24</f>
        <v>1000000</v>
      </c>
      <c r="D19" s="36">
        <f>Operación!$D$6</f>
        <v>79857.142857142855</v>
      </c>
      <c r="E19" s="40">
        <v>0</v>
      </c>
      <c r="F19" s="37">
        <f t="shared" si="0"/>
        <v>920142.85714285716</v>
      </c>
      <c r="G19" s="37">
        <f>F19/(1+Supuestos!$B$21)^A19</f>
        <v>803887.53586728382</v>
      </c>
      <c r="H19" s="37">
        <f t="shared" si="2"/>
        <v>4492182.3354773261</v>
      </c>
      <c r="I19" s="68">
        <f t="shared" si="1"/>
        <v>1</v>
      </c>
    </row>
    <row r="20" spans="1:9" ht="15">
      <c r="A20" s="65">
        <v>15</v>
      </c>
      <c r="B20" s="9" t="s">
        <v>111</v>
      </c>
      <c r="C20" s="36">
        <f>Supuestos!$B$24</f>
        <v>1000000</v>
      </c>
      <c r="D20" s="36">
        <f>Operación!$D$6</f>
        <v>79857.142857142855</v>
      </c>
      <c r="E20" s="40">
        <v>0</v>
      </c>
      <c r="F20" s="37">
        <f t="shared" si="0"/>
        <v>920142.85714285716</v>
      </c>
      <c r="G20" s="37">
        <f>F20/(1+Supuestos!$B$21)^A20</f>
        <v>796169.06220676634</v>
      </c>
      <c r="H20" s="37">
        <f t="shared" si="2"/>
        <v>5288351.3976840926</v>
      </c>
      <c r="I20" s="68">
        <f t="shared" si="1"/>
        <v>1</v>
      </c>
    </row>
    <row r="21" spans="1:9" ht="15">
      <c r="A21" s="65">
        <v>16</v>
      </c>
      <c r="B21" s="9" t="s">
        <v>112</v>
      </c>
      <c r="C21" s="36">
        <f>Supuestos!$B$24</f>
        <v>1000000</v>
      </c>
      <c r="D21" s="36">
        <f>Operación!$D$6</f>
        <v>79857.142857142855</v>
      </c>
      <c r="E21" s="40">
        <v>0</v>
      </c>
      <c r="F21" s="37">
        <f t="shared" si="0"/>
        <v>920142.85714285716</v>
      </c>
      <c r="G21" s="37">
        <f>F21/(1+Supuestos!$B$21)^A21</f>
        <v>788524.69696688</v>
      </c>
      <c r="H21" s="37">
        <f t="shared" si="2"/>
        <v>6076876.0946509726</v>
      </c>
      <c r="I21" s="68">
        <f t="shared" si="1"/>
        <v>1</v>
      </c>
    </row>
    <row r="22" spans="1:9" ht="15">
      <c r="A22" s="65">
        <v>17</v>
      </c>
      <c r="B22" s="9" t="s">
        <v>113</v>
      </c>
      <c r="C22" s="36">
        <f>Supuestos!$B$24</f>
        <v>1000000</v>
      </c>
      <c r="D22" s="36">
        <f>Operación!$D$6</f>
        <v>79857.142857142855</v>
      </c>
      <c r="E22" s="40">
        <v>0</v>
      </c>
      <c r="F22" s="37">
        <f t="shared" si="0"/>
        <v>920142.85714285716</v>
      </c>
      <c r="G22" s="37">
        <f>F22/(1+Supuestos!$B$21)^A22</f>
        <v>780953.72860046511</v>
      </c>
      <c r="H22" s="37">
        <f t="shared" si="2"/>
        <v>6857829.8232514374</v>
      </c>
      <c r="I22" s="68">
        <f t="shared" si="1"/>
        <v>1</v>
      </c>
    </row>
    <row r="23" spans="1:9" ht="15">
      <c r="A23" s="66">
        <v>18</v>
      </c>
      <c r="B23" s="12" t="s">
        <v>114</v>
      </c>
      <c r="C23" s="61">
        <f>Supuestos!$B$24</f>
        <v>1000000</v>
      </c>
      <c r="D23" s="61">
        <f>Operación!$D$6</f>
        <v>79857.142857142855</v>
      </c>
      <c r="E23" s="62">
        <v>0</v>
      </c>
      <c r="F23" s="63">
        <f t="shared" si="0"/>
        <v>920142.85714285716</v>
      </c>
      <c r="G23" s="63">
        <f>F23/(1+Supuestos!$B$21)^A23</f>
        <v>773455.4523922361</v>
      </c>
      <c r="H23" s="63">
        <f t="shared" si="2"/>
        <v>7631285.2756436737</v>
      </c>
      <c r="I23" s="69">
        <f t="shared" si="1"/>
        <v>1</v>
      </c>
    </row>
    <row r="25" spans="1:9" ht="15">
      <c r="A25" s="95" t="s">
        <v>115</v>
      </c>
      <c r="B25" s="93"/>
      <c r="C25" s="93"/>
      <c r="D25" s="93"/>
      <c r="E25" s="93"/>
      <c r="F25" s="93"/>
      <c r="G25" s="93"/>
      <c r="H25" s="93"/>
      <c r="I25" s="93"/>
    </row>
    <row r="26" spans="1:9" ht="30">
      <c r="A26" s="2" t="s">
        <v>116</v>
      </c>
      <c r="B26" s="3" t="s">
        <v>2</v>
      </c>
      <c r="C26" s="4" t="s">
        <v>117</v>
      </c>
    </row>
    <row r="27" spans="1:9" ht="57">
      <c r="A27" s="5" t="s">
        <v>118</v>
      </c>
      <c r="B27" s="34">
        <f>'Costos Iniciales'!D11</f>
        <v>7499682.1428571427</v>
      </c>
      <c r="C27" s="7" t="s">
        <v>119</v>
      </c>
    </row>
    <row r="28" spans="1:9" ht="42.75">
      <c r="A28" s="8" t="s">
        <v>120</v>
      </c>
      <c r="B28" s="36">
        <f>Operación!D8</f>
        <v>1437428.5714285714</v>
      </c>
      <c r="C28" s="10" t="s">
        <v>121</v>
      </c>
    </row>
    <row r="29" spans="1:9" ht="42.75">
      <c r="A29" s="8" t="s">
        <v>122</v>
      </c>
      <c r="B29" s="36">
        <f>SUM(C6:C23)</f>
        <v>18000000</v>
      </c>
      <c r="C29" s="10" t="s">
        <v>123</v>
      </c>
    </row>
    <row r="30" spans="1:9" ht="57">
      <c r="A30" s="8" t="s">
        <v>222</v>
      </c>
      <c r="B30" s="37">
        <f>SUM(G5:G23)</f>
        <v>7631285.2756436737</v>
      </c>
      <c r="C30" s="10" t="s">
        <v>223</v>
      </c>
    </row>
    <row r="31" spans="1:9" ht="57">
      <c r="A31" s="8" t="s">
        <v>124</v>
      </c>
      <c r="B31" s="70">
        <f>IRR(F5:F23)</f>
        <v>0.10097189441667931</v>
      </c>
      <c r="C31" s="10" t="s">
        <v>125</v>
      </c>
    </row>
    <row r="32" spans="1:9" ht="57">
      <c r="A32" s="11" t="s">
        <v>126</v>
      </c>
      <c r="B32" s="28">
        <f>IFERROR(MATCH(1,I5:I23,0)-1,"No recuperado")</f>
        <v>9</v>
      </c>
      <c r="C32" s="13" t="s">
        <v>127</v>
      </c>
    </row>
  </sheetData>
  <mergeCells count="3">
    <mergeCell ref="A1:I1"/>
    <mergeCell ref="A2:I2"/>
    <mergeCell ref="A25:I25"/>
  </mergeCells>
  <conditionalFormatting sqref="H5:H23">
    <cfRule type="expression" dxfId="5" priority="1">
      <formula>H5&lt;0</formula>
    </cfRule>
    <cfRule type="expression" dxfId="4" priority="2">
      <formula>H5&gt;=0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sqref="A1:H1"/>
    </sheetView>
  </sheetViews>
  <sheetFormatPr defaultRowHeight="14.25"/>
  <cols>
    <col min="1" max="1" width="18" customWidth="1"/>
    <col min="2" max="2" width="19" customWidth="1"/>
    <col min="3" max="6" width="18" customWidth="1"/>
    <col min="7" max="7" width="14" customWidth="1"/>
    <col min="8" max="8" width="20" customWidth="1"/>
  </cols>
  <sheetData>
    <row r="1" spans="1:8" ht="27.95" customHeight="1">
      <c r="A1" s="92" t="s">
        <v>224</v>
      </c>
      <c r="B1" s="93"/>
      <c r="C1" s="93"/>
      <c r="D1" s="93"/>
      <c r="E1" s="93"/>
      <c r="F1" s="93"/>
      <c r="G1" s="93"/>
      <c r="H1" s="93"/>
    </row>
    <row r="2" spans="1:8" ht="15" customHeight="1">
      <c r="A2" s="94" t="s">
        <v>225</v>
      </c>
      <c r="B2" s="94"/>
      <c r="C2" s="94"/>
      <c r="D2" s="94"/>
      <c r="E2" s="94"/>
      <c r="F2" s="94"/>
      <c r="G2" s="94"/>
      <c r="H2" s="94"/>
    </row>
    <row r="4" spans="1:8" ht="30">
      <c r="A4" s="2" t="s">
        <v>128</v>
      </c>
      <c r="B4" s="3" t="s">
        <v>129</v>
      </c>
      <c r="C4" s="3" t="s">
        <v>130</v>
      </c>
      <c r="D4" s="3" t="s">
        <v>74</v>
      </c>
      <c r="E4" s="3" t="s">
        <v>91</v>
      </c>
      <c r="F4" s="3" t="s">
        <v>131</v>
      </c>
      <c r="G4" s="3" t="s">
        <v>132</v>
      </c>
      <c r="H4" s="4" t="s">
        <v>133</v>
      </c>
    </row>
    <row r="5" spans="1:8" ht="15">
      <c r="A5" s="5" t="s">
        <v>219</v>
      </c>
      <c r="B5" s="71">
        <v>0.25</v>
      </c>
      <c r="C5" s="34">
        <f>Supuestos!$B$22*B5</f>
        <v>1000000</v>
      </c>
      <c r="D5" s="34">
        <f>Operación!$D$6</f>
        <v>79857.142857142855</v>
      </c>
      <c r="E5" s="34">
        <f>'Costos Iniciales'!$D$11</f>
        <v>7499682.1428571427</v>
      </c>
      <c r="F5" s="35">
        <f>-E5+(C5-D5)*((1-(1+Supuestos!$B$21)^(-Supuestos!$B$20))/Supuestos!$B$21)</f>
        <v>7631285.2756435862</v>
      </c>
      <c r="G5" s="74">
        <f>((C5*Supuestos!$B$20)-(D5*Supuestos!$B$20)-E5)/(E5+D5*Supuestos!$B$20)</f>
        <v>1.0140737398751836</v>
      </c>
      <c r="H5" s="75">
        <f>IF(C5&lt;=D5,"No recuperado",E5/(C5-D5))</f>
        <v>8.150562800807327</v>
      </c>
    </row>
    <row r="6" spans="1:8" ht="15">
      <c r="A6" s="8" t="s">
        <v>134</v>
      </c>
      <c r="B6" s="72">
        <v>0.5</v>
      </c>
      <c r="C6" s="36">
        <f>Supuestos!$B$22*B6</f>
        <v>2000000</v>
      </c>
      <c r="D6" s="36">
        <f>Operación!$D$6</f>
        <v>79857.142857142855</v>
      </c>
      <c r="E6" s="36">
        <f>'Costos Iniciales'!$D$11</f>
        <v>7499682.1428571427</v>
      </c>
      <c r="F6" s="37">
        <f>-E6+(C6-D6)*((1-(1+Supuestos!$B$21)^(-Supuestos!$B$20))/Supuestos!$B$21)</f>
        <v>24075435.551921353</v>
      </c>
      <c r="G6" s="76">
        <f>((C6*Supuestos!$B$20)-(D6*Supuestos!$B$20)-E6)/(E6+D6*Supuestos!$B$20)</f>
        <v>3.0281474797503662</v>
      </c>
      <c r="H6" s="77">
        <f>IF(C6&lt;=D6,"No recuperado",E6/(C6-D6))</f>
        <v>3.9057938397440668</v>
      </c>
    </row>
    <row r="7" spans="1:8" ht="15">
      <c r="A7" s="8" t="s">
        <v>135</v>
      </c>
      <c r="B7" s="72">
        <v>0.75</v>
      </c>
      <c r="C7" s="36">
        <f>Supuestos!$B$22*B7</f>
        <v>3000000</v>
      </c>
      <c r="D7" s="36">
        <f>Operación!$D$6</f>
        <v>79857.142857142855</v>
      </c>
      <c r="E7" s="36">
        <f>'Costos Iniciales'!$D$11</f>
        <v>7499682.1428571427</v>
      </c>
      <c r="F7" s="37">
        <f>-E7+(C7-D7)*((1-(1+Supuestos!$B$21)^(-Supuestos!$B$20))/Supuestos!$B$21)</f>
        <v>40519585.828199126</v>
      </c>
      <c r="G7" s="76">
        <f>((C7*Supuestos!$B$20)-(D7*Supuestos!$B$20)-E7)/(E7+D7*Supuestos!$B$20)</f>
        <v>5.0422212196255494</v>
      </c>
      <c r="H7" s="77">
        <f>IF(C7&lt;=D7,"No recuperado",E7/(C7-D7))</f>
        <v>2.5682586468372386</v>
      </c>
    </row>
    <row r="8" spans="1:8" ht="15">
      <c r="A8" s="11" t="s">
        <v>66</v>
      </c>
      <c r="B8" s="73">
        <v>1</v>
      </c>
      <c r="C8" s="61">
        <f>Supuestos!$B$22*B8</f>
        <v>4000000</v>
      </c>
      <c r="D8" s="61">
        <f>Operación!$D$6</f>
        <v>79857.142857142855</v>
      </c>
      <c r="E8" s="61">
        <f>'Costos Iniciales'!$D$11</f>
        <v>7499682.1428571427</v>
      </c>
      <c r="F8" s="63">
        <f>-E8+(C8-D8)*((1-(1+Supuestos!$B$21)^(-Supuestos!$B$20))/Supuestos!$B$21)</f>
        <v>56963736.104476891</v>
      </c>
      <c r="G8" s="78">
        <f>((C8*Supuestos!$B$20)-(D8*Supuestos!$B$20)-E8)/(E8+D8*Supuestos!$B$20)</f>
        <v>7.0562949595007343</v>
      </c>
      <c r="H8" s="79">
        <f>IF(C8&lt;=D8,"No recuperado",E8/(C8-D8))</f>
        <v>1.9131145002004299</v>
      </c>
    </row>
  </sheetData>
  <mergeCells count="2">
    <mergeCell ref="A1:H1"/>
    <mergeCell ref="A2:H2"/>
  </mergeCells>
  <conditionalFormatting sqref="F5:F8">
    <cfRule type="expression" dxfId="3" priority="1">
      <formula>F5&lt;0</formula>
    </cfRule>
    <cfRule type="expression" dxfId="2" priority="2">
      <formula>F5&gt;=0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selection sqref="A1:E1"/>
    </sheetView>
  </sheetViews>
  <sheetFormatPr defaultRowHeight="14.25"/>
  <cols>
    <col min="1" max="1" width="31" customWidth="1"/>
    <col min="2" max="3" width="24" customWidth="1"/>
    <col min="4" max="4" width="14" customWidth="1"/>
    <col min="5" max="5" width="58" customWidth="1"/>
  </cols>
  <sheetData>
    <row r="1" spans="1:5" ht="27.95" customHeight="1">
      <c r="A1" s="92" t="s">
        <v>136</v>
      </c>
      <c r="B1" s="93"/>
      <c r="C1" s="93"/>
      <c r="D1" s="93"/>
      <c r="E1" s="93"/>
    </row>
    <row r="2" spans="1:5" ht="15" customHeight="1">
      <c r="A2" s="94" t="s">
        <v>226</v>
      </c>
      <c r="B2" s="94"/>
      <c r="C2" s="94"/>
      <c r="D2" s="94"/>
      <c r="E2" s="94"/>
    </row>
    <row r="4" spans="1:5" ht="15">
      <c r="A4" s="2" t="s">
        <v>116</v>
      </c>
      <c r="B4" s="3" t="s">
        <v>137</v>
      </c>
      <c r="C4" s="3" t="s">
        <v>138</v>
      </c>
      <c r="D4" s="3" t="s">
        <v>139</v>
      </c>
      <c r="E4" s="4" t="s">
        <v>140</v>
      </c>
    </row>
    <row r="5" spans="1:5" ht="28.5">
      <c r="A5" s="5" t="s">
        <v>141</v>
      </c>
      <c r="B5" s="6" t="s">
        <v>67</v>
      </c>
      <c r="C5" s="6" t="s">
        <v>69</v>
      </c>
      <c r="D5" s="6" t="s">
        <v>142</v>
      </c>
      <c r="E5" s="7" t="s">
        <v>143</v>
      </c>
    </row>
    <row r="6" spans="1:5" ht="28.5">
      <c r="A6" s="8" t="s">
        <v>144</v>
      </c>
      <c r="B6" s="80">
        <v>44720000</v>
      </c>
      <c r="C6" s="36">
        <f>'Costos Iniciales'!D5</f>
        <v>6568250</v>
      </c>
      <c r="D6" s="76">
        <f t="shared" ref="D6:D12" si="0">IFERROR((C6-B6)/B6,"—")</f>
        <v>-0.85312500000000002</v>
      </c>
      <c r="E6" s="10" t="s">
        <v>145</v>
      </c>
    </row>
    <row r="7" spans="1:5" ht="15">
      <c r="A7" s="8" t="s">
        <v>146</v>
      </c>
      <c r="B7" s="80">
        <v>44770000</v>
      </c>
      <c r="C7" s="36">
        <f>'Costos Iniciales'!D11</f>
        <v>7499682.1428571427</v>
      </c>
      <c r="D7" s="76">
        <f t="shared" si="0"/>
        <v>-0.83248420498420506</v>
      </c>
      <c r="E7" s="10" t="s">
        <v>147</v>
      </c>
    </row>
    <row r="8" spans="1:5" ht="15">
      <c r="A8" s="8" t="s">
        <v>148</v>
      </c>
      <c r="B8" s="80">
        <v>780000</v>
      </c>
      <c r="C8" s="36">
        <f>Operación!D6</f>
        <v>79857.142857142855</v>
      </c>
      <c r="D8" s="76">
        <f t="shared" si="0"/>
        <v>-0.89761904761904765</v>
      </c>
      <c r="E8" s="10" t="s">
        <v>149</v>
      </c>
    </row>
    <row r="9" spans="1:5" ht="15">
      <c r="A9" s="8" t="s">
        <v>150</v>
      </c>
      <c r="B9" s="80">
        <v>14040000</v>
      </c>
      <c r="C9" s="36">
        <f>Operación!D8</f>
        <v>1437428.5714285714</v>
      </c>
      <c r="D9" s="76">
        <f t="shared" si="0"/>
        <v>-0.89761904761904765</v>
      </c>
      <c r="E9" s="10" t="s">
        <v>151</v>
      </c>
    </row>
    <row r="10" spans="1:5" ht="15">
      <c r="A10" s="8" t="s">
        <v>152</v>
      </c>
      <c r="B10" s="80">
        <v>58810000</v>
      </c>
      <c r="C10" s="36">
        <f>Operación!D10</f>
        <v>8937110.7142857146</v>
      </c>
      <c r="D10" s="76">
        <f t="shared" si="0"/>
        <v>-0.84803416571525736</v>
      </c>
      <c r="E10" s="10" t="s">
        <v>153</v>
      </c>
    </row>
    <row r="11" spans="1:5">
      <c r="A11" s="8" t="s">
        <v>154</v>
      </c>
      <c r="B11" s="80">
        <v>4000000</v>
      </c>
      <c r="C11" s="36">
        <f>Supuestos!B24</f>
        <v>1000000</v>
      </c>
      <c r="D11" s="76">
        <f t="shared" si="0"/>
        <v>-0.75</v>
      </c>
      <c r="E11" s="10" t="s">
        <v>227</v>
      </c>
    </row>
    <row r="12" spans="1:5">
      <c r="A12" s="8" t="s">
        <v>131</v>
      </c>
      <c r="B12" s="80">
        <v>8180163.8890000004</v>
      </c>
      <c r="C12" s="36">
        <f>'Flujo 18m'!B30</f>
        <v>7631285.2756436737</v>
      </c>
      <c r="D12" s="76">
        <f t="shared" si="0"/>
        <v>-6.7098730637220202E-2</v>
      </c>
      <c r="E12" s="10" t="s">
        <v>228</v>
      </c>
    </row>
    <row r="13" spans="1:5">
      <c r="A13" s="11" t="s">
        <v>155</v>
      </c>
      <c r="B13" s="81">
        <v>16</v>
      </c>
      <c r="C13" s="82">
        <f>'Flujo 18m'!B32</f>
        <v>9</v>
      </c>
      <c r="D13" s="83">
        <f>IFERROR(C13-B13,"—")</f>
        <v>-7</v>
      </c>
      <c r="E13" s="13" t="s">
        <v>156</v>
      </c>
    </row>
  </sheetData>
  <mergeCells count="2">
    <mergeCell ref="A1:E1"/>
    <mergeCell ref="A2:E2"/>
  </mergeCells>
  <conditionalFormatting sqref="D6:D10">
    <cfRule type="expression" dxfId="1" priority="1">
      <formula>D6&lt;0</formula>
    </cfRule>
    <cfRule type="expression" dxfId="0" priority="2">
      <formula>D6&gt;0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>
      <selection sqref="A1:D1"/>
    </sheetView>
  </sheetViews>
  <sheetFormatPr defaultRowHeight="14.25"/>
  <cols>
    <col min="1" max="1" width="35" customWidth="1"/>
    <col min="2" max="2" width="28" customWidth="1"/>
    <col min="3" max="3" width="42" customWidth="1"/>
    <col min="4" max="4" width="65" customWidth="1"/>
  </cols>
  <sheetData>
    <row r="1" spans="1:4" ht="27.95" customHeight="1">
      <c r="A1" s="92" t="s">
        <v>157</v>
      </c>
      <c r="B1" s="93"/>
      <c r="C1" s="93"/>
      <c r="D1" s="93"/>
    </row>
    <row r="3" spans="1:4" ht="15">
      <c r="A3" s="2" t="s">
        <v>158</v>
      </c>
      <c r="B3" s="3" t="s">
        <v>159</v>
      </c>
      <c r="C3" s="3" t="s">
        <v>160</v>
      </c>
      <c r="D3" s="4" t="s">
        <v>161</v>
      </c>
    </row>
    <row r="4" spans="1:4" ht="28.5">
      <c r="A4" s="5" t="s">
        <v>162</v>
      </c>
      <c r="B4" s="6" t="s">
        <v>163</v>
      </c>
      <c r="C4" s="6" t="s">
        <v>164</v>
      </c>
      <c r="D4" s="7" t="s">
        <v>165</v>
      </c>
    </row>
    <row r="5" spans="1:4" ht="28.5">
      <c r="A5" s="8" t="s">
        <v>166</v>
      </c>
      <c r="B5" s="9" t="s">
        <v>167</v>
      </c>
      <c r="C5" s="9" t="s">
        <v>164</v>
      </c>
      <c r="D5" s="10" t="s">
        <v>168</v>
      </c>
    </row>
    <row r="6" spans="1:4" ht="28.5">
      <c r="A6" s="8" t="s">
        <v>169</v>
      </c>
      <c r="B6" s="9" t="s">
        <v>69</v>
      </c>
      <c r="C6" s="9" t="s">
        <v>170</v>
      </c>
      <c r="D6" s="10" t="s">
        <v>171</v>
      </c>
    </row>
    <row r="7" spans="1:4" ht="28.5">
      <c r="A7" s="8" t="s">
        <v>172</v>
      </c>
      <c r="B7" s="9" t="s">
        <v>173</v>
      </c>
      <c r="C7" s="9" t="s">
        <v>170</v>
      </c>
      <c r="D7" s="10" t="s">
        <v>174</v>
      </c>
    </row>
    <row r="8" spans="1:4">
      <c r="A8" s="8" t="s">
        <v>175</v>
      </c>
      <c r="B8" s="9" t="s">
        <v>176</v>
      </c>
      <c r="C8" s="9" t="s">
        <v>177</v>
      </c>
      <c r="D8" s="10" t="s">
        <v>178</v>
      </c>
    </row>
    <row r="9" spans="1:4">
      <c r="A9" s="8" t="s">
        <v>179</v>
      </c>
      <c r="B9" s="9" t="s">
        <v>180</v>
      </c>
      <c r="C9" s="9" t="s">
        <v>181</v>
      </c>
      <c r="D9" s="10" t="s">
        <v>182</v>
      </c>
    </row>
    <row r="10" spans="1:4">
      <c r="A10" s="11" t="s">
        <v>183</v>
      </c>
      <c r="B10" s="12" t="s">
        <v>184</v>
      </c>
      <c r="C10" s="12" t="s">
        <v>181</v>
      </c>
      <c r="D10" s="13" t="s">
        <v>185</v>
      </c>
    </row>
    <row r="12" spans="1:4" ht="15">
      <c r="A12" s="1" t="s">
        <v>186</v>
      </c>
      <c r="B12" s="1"/>
      <c r="C12" s="1"/>
      <c r="D12" s="1"/>
    </row>
    <row r="13" spans="1:4" ht="42.75">
      <c r="A13" s="5" t="s">
        <v>187</v>
      </c>
      <c r="B13" s="6" t="s">
        <v>188</v>
      </c>
      <c r="C13" s="6"/>
      <c r="D13" s="7"/>
    </row>
    <row r="14" spans="1:4" ht="42.75">
      <c r="A14" s="8" t="s">
        <v>189</v>
      </c>
      <c r="B14" s="9" t="s">
        <v>190</v>
      </c>
      <c r="C14" s="9"/>
      <c r="D14" s="10"/>
    </row>
    <row r="15" spans="1:4" ht="57">
      <c r="A15" s="8" t="s">
        <v>191</v>
      </c>
      <c r="B15" s="9" t="s">
        <v>192</v>
      </c>
      <c r="C15" s="9"/>
      <c r="D15" s="10"/>
    </row>
    <row r="16" spans="1:4" ht="57">
      <c r="A16" s="11" t="s">
        <v>193</v>
      </c>
      <c r="B16" s="12" t="s">
        <v>229</v>
      </c>
      <c r="C16" s="12"/>
      <c r="D16" s="13"/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0"/>
  <sheetViews>
    <sheetView tabSelected="1" workbookViewId="0">
      <selection sqref="A1:H1"/>
    </sheetView>
  </sheetViews>
  <sheetFormatPr defaultRowHeight="14.25"/>
  <cols>
    <col min="1" max="1" width="26" customWidth="1"/>
    <col min="2" max="4" width="20" customWidth="1"/>
    <col min="5" max="8" width="18" customWidth="1"/>
  </cols>
  <sheetData>
    <row r="1" spans="1:8" ht="27.95" customHeight="1">
      <c r="A1" s="92" t="s">
        <v>230</v>
      </c>
      <c r="B1" s="93"/>
      <c r="C1" s="93"/>
      <c r="D1" s="93"/>
      <c r="E1" s="93"/>
      <c r="F1" s="93"/>
      <c r="G1" s="93"/>
      <c r="H1" s="93"/>
    </row>
    <row r="2" spans="1:8" ht="15" customHeight="1">
      <c r="A2" s="97" t="s">
        <v>231</v>
      </c>
      <c r="B2" s="97"/>
      <c r="C2" s="97"/>
      <c r="D2" s="97"/>
      <c r="E2" s="97"/>
      <c r="F2" s="97"/>
      <c r="G2" s="97"/>
      <c r="H2" s="97"/>
    </row>
    <row r="4" spans="1:8" ht="15">
      <c r="A4" s="98" t="s">
        <v>194</v>
      </c>
      <c r="B4" s="98"/>
      <c r="C4" s="98" t="s">
        <v>195</v>
      </c>
      <c r="D4" s="98"/>
      <c r="E4" s="98" t="s">
        <v>196</v>
      </c>
      <c r="F4" s="98"/>
      <c r="G4" s="98" t="s">
        <v>232</v>
      </c>
      <c r="H4" s="98"/>
    </row>
    <row r="5" spans="1:8">
      <c r="A5" s="99">
        <f>'Costos Iniciales'!D11</f>
        <v>7499682.1428571427</v>
      </c>
      <c r="B5" s="99"/>
      <c r="C5" s="99">
        <f>Operación!D6</f>
        <v>79857.142857142855</v>
      </c>
      <c r="D5" s="99"/>
      <c r="E5" s="99">
        <f>Operación!D10</f>
        <v>8937110.7142857146</v>
      </c>
      <c r="F5" s="99"/>
      <c r="G5" s="99">
        <f>'Flujo 18m'!B30</f>
        <v>7631285.2756436737</v>
      </c>
      <c r="H5" s="99"/>
    </row>
    <row r="6" spans="1:8">
      <c r="A6" s="99"/>
      <c r="B6" s="99"/>
      <c r="C6" s="99"/>
      <c r="D6" s="99"/>
      <c r="E6" s="99"/>
      <c r="F6" s="99"/>
      <c r="G6" s="99"/>
      <c r="H6" s="99"/>
    </row>
    <row r="8" spans="1:8" ht="15">
      <c r="A8" s="95" t="s">
        <v>233</v>
      </c>
      <c r="B8" s="93"/>
      <c r="C8" s="93"/>
      <c r="D8" s="93"/>
      <c r="E8" s="93"/>
      <c r="F8" s="93"/>
      <c r="G8" s="93"/>
      <c r="H8" s="93"/>
    </row>
    <row r="9" spans="1:8" ht="15">
      <c r="A9" s="2" t="s">
        <v>197</v>
      </c>
      <c r="B9" s="3" t="s">
        <v>198</v>
      </c>
      <c r="C9" s="3" t="s">
        <v>199</v>
      </c>
      <c r="D9" s="4" t="s">
        <v>200</v>
      </c>
    </row>
    <row r="10" spans="1:8" ht="42.75">
      <c r="A10" s="5" t="s">
        <v>201</v>
      </c>
      <c r="B10" s="6" t="s">
        <v>67</v>
      </c>
      <c r="C10" s="6" t="s">
        <v>69</v>
      </c>
      <c r="D10" s="7" t="s">
        <v>202</v>
      </c>
    </row>
    <row r="11" spans="1:8" ht="42.75">
      <c r="A11" s="8" t="s">
        <v>203</v>
      </c>
      <c r="B11" s="9" t="s">
        <v>204</v>
      </c>
      <c r="C11" s="9" t="s">
        <v>234</v>
      </c>
      <c r="D11" s="10" t="s">
        <v>235</v>
      </c>
    </row>
    <row r="12" spans="1:8" ht="28.5">
      <c r="A12" s="8" t="s">
        <v>205</v>
      </c>
      <c r="B12" s="9" t="s">
        <v>236</v>
      </c>
      <c r="C12" s="9" t="s">
        <v>237</v>
      </c>
      <c r="D12" s="10" t="s">
        <v>238</v>
      </c>
    </row>
    <row r="13" spans="1:8" ht="28.5">
      <c r="A13" s="11" t="s">
        <v>206</v>
      </c>
      <c r="B13" s="12" t="s">
        <v>239</v>
      </c>
      <c r="C13" s="12" t="s">
        <v>240</v>
      </c>
      <c r="D13" s="13" t="s">
        <v>241</v>
      </c>
    </row>
    <row r="15" spans="1:8" ht="15">
      <c r="A15" s="95" t="s">
        <v>207</v>
      </c>
      <c r="B15" s="93"/>
      <c r="C15" s="93"/>
      <c r="D15" s="93"/>
      <c r="E15" s="93"/>
      <c r="F15" s="93"/>
      <c r="G15" s="93"/>
      <c r="H15" s="93"/>
    </row>
    <row r="16" spans="1:8" ht="30" customHeight="1">
      <c r="A16" s="2" t="s">
        <v>116</v>
      </c>
      <c r="B16" s="3" t="s">
        <v>208</v>
      </c>
      <c r="C16" s="4" t="s">
        <v>242</v>
      </c>
      <c r="E16" s="96" t="s">
        <v>243</v>
      </c>
      <c r="F16" s="96"/>
      <c r="G16" s="96"/>
      <c r="H16" s="96"/>
    </row>
    <row r="17" spans="1:8" ht="21.95" customHeight="1">
      <c r="A17" s="5" t="s">
        <v>209</v>
      </c>
      <c r="B17" s="84">
        <v>44770000</v>
      </c>
      <c r="C17" s="86">
        <f>'Costos Iniciales'!D11</f>
        <v>7499682.1428571427</v>
      </c>
      <c r="E17" s="96"/>
      <c r="F17" s="96"/>
      <c r="G17" s="96"/>
      <c r="H17" s="96"/>
    </row>
    <row r="18" spans="1:8" ht="21.95" customHeight="1">
      <c r="A18" s="8" t="s">
        <v>148</v>
      </c>
      <c r="B18" s="80">
        <v>780000</v>
      </c>
      <c r="C18" s="87">
        <f>Operación!D6</f>
        <v>79857.142857142855</v>
      </c>
      <c r="E18" s="96"/>
      <c r="F18" s="96"/>
      <c r="G18" s="96"/>
      <c r="H18" s="96"/>
    </row>
    <row r="19" spans="1:8" ht="21.95" customHeight="1">
      <c r="A19" s="8" t="s">
        <v>150</v>
      </c>
      <c r="B19" s="80">
        <v>14040000</v>
      </c>
      <c r="C19" s="87">
        <f>Operación!D8</f>
        <v>1437428.5714285714</v>
      </c>
      <c r="E19" s="96"/>
      <c r="F19" s="96"/>
      <c r="G19" s="96"/>
      <c r="H19" s="96"/>
    </row>
    <row r="20" spans="1:8" ht="21.95" customHeight="1">
      <c r="A20" s="11" t="s">
        <v>152</v>
      </c>
      <c r="B20" s="85">
        <v>58810000</v>
      </c>
      <c r="C20" s="88">
        <f>Operación!D10</f>
        <v>8937110.7142857146</v>
      </c>
      <c r="E20" s="96"/>
      <c r="F20" s="96"/>
      <c r="G20" s="96"/>
      <c r="H20" s="96"/>
    </row>
  </sheetData>
  <mergeCells count="13">
    <mergeCell ref="A8:H8"/>
    <mergeCell ref="A15:H15"/>
    <mergeCell ref="E16:H20"/>
    <mergeCell ref="A1:H1"/>
    <mergeCell ref="A2:H2"/>
    <mergeCell ref="A4:B4"/>
    <mergeCell ref="A5:B6"/>
    <mergeCell ref="C4:D4"/>
    <mergeCell ref="C5:D6"/>
    <mergeCell ref="E4:F4"/>
    <mergeCell ref="E5:F6"/>
    <mergeCell ref="G4:H4"/>
    <mergeCell ref="G5: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Supuestos</vt:lpstr>
      <vt:lpstr>Costos Iniciales</vt:lpstr>
      <vt:lpstr>Operación</vt:lpstr>
      <vt:lpstr>Flujo 18m</vt:lpstr>
      <vt:lpstr>Escenarios</vt:lpstr>
      <vt:lpstr>Comparación</vt:lpstr>
      <vt:lpstr>Fuentes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NAVARRO MONJE RENATO J</cp:lastModifiedBy>
  <dcterms:modified xsi:type="dcterms:W3CDTF">2026-10-04T23:46:07Z</dcterms:modified>
</cp:coreProperties>
</file>