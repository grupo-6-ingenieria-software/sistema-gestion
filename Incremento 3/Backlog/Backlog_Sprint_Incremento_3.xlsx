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Burn Incremento 3" sheetId="2" r:id="rId5"/>
  </sheets>
  <definedNames/>
  <calcPr/>
  <extLst>
    <ext uri="GoogleSheetsCustomDataVersion2">
      <go:sheetsCustomData xmlns:go="http://customooxmlschemas.google.com/" r:id="rId6" roundtripDataChecksum="DZTpcMYOmLnokZzp4F7ShEXZH090V6lP05UDwyQKdgw="/>
    </ext>
  </extLst>
</workbook>
</file>

<file path=xl/sharedStrings.xml><?xml version="1.0" encoding="utf-8"?>
<sst xmlns="http://schemas.openxmlformats.org/spreadsheetml/2006/main" count="1293" uniqueCount="478">
  <si>
    <t>Día</t>
  </si>
  <si>
    <t>Fecha</t>
  </si>
  <si>
    <t>HH restantes ideal</t>
  </si>
  <si>
    <t>HH restantes real</t>
  </si>
  <si>
    <t>HH completadas real</t>
  </si>
  <si>
    <t>Alcance total</t>
  </si>
  <si>
    <t>Inicio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</si>
  <si>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</si>
  <si>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</si>
  <si>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</si>
  <si>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</si>
  <si>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</si>
  <si>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</si>
  <si>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</si>
  <si>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</si>
  <si>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</si>
  <si>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Completar 'HH restantes real' al cierre de cada día con el total de HH efectivas pendientes; 'HH completadas real' = Alcance total − HH restantes real.</t>
  </si>
  <si>
    <t>SPRINT BACKLOG</t>
  </si>
  <si>
    <t>Proyecto</t>
  </si>
  <si>
    <t xml:space="preserve"> </t>
  </si>
  <si>
    <t>Categoría</t>
  </si>
  <si>
    <t>CU asociado</t>
  </si>
  <si>
    <t>RF asociado</t>
  </si>
  <si>
    <t>Tarea</t>
  </si>
  <si>
    <t>Responsable</t>
  </si>
  <si>
    <t>HH estimadas</t>
  </si>
  <si>
    <t>Estado</t>
  </si>
  <si>
    <t>Objetivo del sprint</t>
  </si>
  <si>
    <t>Fin</t>
  </si>
  <si>
    <t>HH efectivas</t>
  </si>
  <si>
    <t>Diferencia HH</t>
  </si>
  <si>
    <t>Documentación</t>
  </si>
  <si>
    <t>General</t>
  </si>
  <si>
    <t>Corrección del Documento 0</t>
  </si>
  <si>
    <t>Todo el equipo</t>
  </si>
  <si>
    <t>Terminado</t>
  </si>
  <si>
    <t>Corregir observaciones de la entrega anterior</t>
  </si>
  <si>
    <t>Arquitectura</t>
  </si>
  <si>
    <t>Elaboración del diagrama de componentes</t>
  </si>
  <si>
    <t>Vicente Aravena</t>
  </si>
  <si>
    <t>Definir estructura de software del sistema</t>
  </si>
  <si>
    <t>Elaboración del diagrama de despliegue</t>
  </si>
  <si>
    <t>Tomás Núñez</t>
  </si>
  <si>
    <t>Definir infraestructura de ejecución del sistema</t>
  </si>
  <si>
    <t>Base de datos</t>
  </si>
  <si>
    <t>Diseño del modelo de datos y base de datos</t>
  </si>
  <si>
    <t>Bastián Ibáñez</t>
  </si>
  <si>
    <t>Definir estructura de almacenamiento del sistema</t>
  </si>
  <si>
    <t>Desarrollo</t>
  </si>
  <si>
    <t>Definición de vistas del sistema</t>
  </si>
  <si>
    <t>Diseñar interfaces de usuario del incremento</t>
  </si>
  <si>
    <t>Definición de controladores del sistema</t>
  </si>
  <si>
    <t>Diseñar lógica de control de las funcionalidades</t>
  </si>
  <si>
    <t>Vista de procesos</t>
  </si>
  <si>
    <t>CU01</t>
  </si>
  <si>
    <t>RF01</t>
  </si>
  <si>
    <t>Diagrama de secuencia: flujo principal y excepciones</t>
  </si>
  <si>
    <t>Renato Navarro</t>
  </si>
  <si>
    <t>Modelar registro de producto</t>
  </si>
  <si>
    <t>CU02</t>
  </si>
  <si>
    <t>RF02</t>
  </si>
  <si>
    <t>Modelar modificación de producto</t>
  </si>
  <si>
    <t>CU03</t>
  </si>
  <si>
    <t>RF03</t>
  </si>
  <si>
    <t>Modelar eliminación de producto</t>
  </si>
  <si>
    <t>CU04</t>
  </si>
  <si>
    <t>RF04</t>
  </si>
  <si>
    <t>Modelar cambio de estado de producto</t>
  </si>
  <si>
    <t>CU05</t>
  </si>
  <si>
    <t>RF05</t>
  </si>
  <si>
    <t>Modelar registro de lote</t>
  </si>
  <si>
    <t>CU06</t>
  </si>
  <si>
    <t>RF06</t>
  </si>
  <si>
    <t>Modelar listado de productos</t>
  </si>
  <si>
    <t>CU08</t>
  </si>
  <si>
    <t>RF08</t>
  </si>
  <si>
    <t>Clemente Carreño</t>
  </si>
  <si>
    <t>Modelar alerta de stock mínimo</t>
  </si>
  <si>
    <t>CU09</t>
  </si>
  <si>
    <t>RF09</t>
  </si>
  <si>
    <t>Joao Morales</t>
  </si>
  <si>
    <t>Modelar alerta de vencimiento de lotes</t>
  </si>
  <si>
    <t>CU10</t>
  </si>
  <si>
    <t>RF10</t>
  </si>
  <si>
    <t>Modelar registro de mermas</t>
  </si>
  <si>
    <t>CU21</t>
  </si>
  <si>
    <t>RF21</t>
  </si>
  <si>
    <t>Modelar registro de trabajador</t>
  </si>
  <si>
    <t>CU25</t>
  </si>
  <si>
    <t>RF25</t>
  </si>
  <si>
    <t>Benjamín Huerta</t>
  </si>
  <si>
    <t>Modelar creación de turnos</t>
  </si>
  <si>
    <t>CU29</t>
  </si>
  <si>
    <t>RF29</t>
  </si>
  <si>
    <t>Modelar registro de entrada</t>
  </si>
  <si>
    <t>CU29b</t>
  </si>
  <si>
    <t>Modelar entrada sin turno asignado</t>
  </si>
  <si>
    <t>CU30</t>
  </si>
  <si>
    <t>RF30</t>
  </si>
  <si>
    <t>Modelar registro de salida</t>
  </si>
  <si>
    <t>CU36</t>
  </si>
  <si>
    <t>RF36</t>
  </si>
  <si>
    <t>Benjamín Huerta / Joao Morales</t>
  </si>
  <si>
    <t>Modelar proceso de venta</t>
  </si>
  <si>
    <t>CU36b</t>
  </si>
  <si>
    <t>Modelar venta con pago en efectivo</t>
  </si>
  <si>
    <t>CU36c</t>
  </si>
  <si>
    <t>Modelar venta con pago electrónico</t>
  </si>
  <si>
    <t>CU39</t>
  </si>
  <si>
    <t>RF39</t>
  </si>
  <si>
    <t>Modelar descuento automático de stock</t>
  </si>
  <si>
    <t>CU40</t>
  </si>
  <si>
    <t>RF40</t>
  </si>
  <si>
    <t>Modelar listado de ventas del día</t>
  </si>
  <si>
    <t>CU42</t>
  </si>
  <si>
    <t>RF42</t>
  </si>
  <si>
    <t>Modelar cierre de caja</t>
  </si>
  <si>
    <t>CU55</t>
  </si>
  <si>
    <t>RF55</t>
  </si>
  <si>
    <t>Modelar dashboard principal</t>
  </si>
  <si>
    <t>CU56</t>
  </si>
  <si>
    <t>RF56</t>
  </si>
  <si>
    <t>Modelar autenticación de usuario</t>
  </si>
  <si>
    <t>Navegación</t>
  </si>
  <si>
    <t>Elaboración árbol de navegación</t>
  </si>
  <si>
    <t>Definir flujo de navegación entre vistas</t>
  </si>
  <si>
    <t>Implementación</t>
  </si>
  <si>
    <t>Programación vista, controlador y validaciones para registro de producto</t>
  </si>
  <si>
    <t>Implementar registro de productos</t>
  </si>
  <si>
    <t>Programación vista y controlador para modificación de producto existente</t>
  </si>
  <si>
    <t>Implementar modificación de productos</t>
  </si>
  <si>
    <t>Programación vista y controlador para eliminación de producto existente</t>
  </si>
  <si>
    <t>Implementar Eliminación de productos</t>
  </si>
  <si>
    <t>Programación de cambio de estado activo/inactivo de producto</t>
  </si>
  <si>
    <t>Implementar cambio de estado de productos</t>
  </si>
  <si>
    <t>Programación de registro de lote y actualización de stock</t>
  </si>
  <si>
    <t>Implementar ingreso de lotes</t>
  </si>
  <si>
    <t>Programación de listado, búsqueda y filtros de productos</t>
  </si>
  <si>
    <t>Implementar consulta de inventario</t>
  </si>
  <si>
    <t>Programación de alerta automática de stock mínimo</t>
  </si>
  <si>
    <t>Implementar control de stock crítico</t>
  </si>
  <si>
    <t>Programación de alerta automática de lotes próximos a vencer</t>
  </si>
  <si>
    <t>Implementar control de vencimientos</t>
  </si>
  <si>
    <t>Programación de registro de mermas y descuento de stock</t>
  </si>
  <si>
    <t>Implementar control de pérdidas de inventario</t>
  </si>
  <si>
    <t>Programación de registro de trabajador y generación de credenciales</t>
  </si>
  <si>
    <t>Implementar gestión inicial de trabajadores</t>
  </si>
  <si>
    <t>Programación de creación de turnos y validación de horarios</t>
  </si>
  <si>
    <t>Implementar planificación de turnos</t>
  </si>
  <si>
    <t>Programación de registro de asistencia de entrada</t>
  </si>
  <si>
    <t>Implementar marcación de entrada</t>
  </si>
  <si>
    <t>Programación de registro de entrada sin turno asignado</t>
  </si>
  <si>
    <t>Implementar entrada excepcional sin turno</t>
  </si>
  <si>
    <t>Programación de registro de asistencia de salida y cálculo de horas</t>
  </si>
  <si>
    <t>Implementar marcación de salida</t>
  </si>
  <si>
    <t>Programación de registro de venta, cálculo de total y validación de stock</t>
  </si>
  <si>
    <t>Implementar proceso principal de venta</t>
  </si>
  <si>
    <t>Programación de pago en efectivo, monto recibido y vuelto</t>
  </si>
  <si>
    <t>Implementar pago en efectivo</t>
  </si>
  <si>
    <t>Programación de pago electrónico y confirmación de venta</t>
  </si>
  <si>
    <t>Implementar pago electrónico</t>
  </si>
  <si>
    <t>Programación de descuento automático de stock por venta</t>
  </si>
  <si>
    <t>Implementar descuento automático de inventario</t>
  </si>
  <si>
    <t>Programación de listado de ventas del día</t>
  </si>
  <si>
    <t>Implementar consulta diaria de ventas</t>
  </si>
  <si>
    <t>Programación de cierre de caja y resumen diario</t>
  </si>
  <si>
    <t>Implementar cierre operacional de caja</t>
  </si>
  <si>
    <t>Programación de dashboard principal y visualización de alertas</t>
  </si>
  <si>
    <t>Implementar pantalla principal del sistema</t>
  </si>
  <si>
    <t>Programación de inicio de sesión y validación de usuario</t>
  </si>
  <si>
    <t>Implementar autenticación del sistema</t>
  </si>
  <si>
    <t>Prioridad</t>
  </si>
  <si>
    <t>Creacion documento incremento 2 y organizacion de trabajo</t>
  </si>
  <si>
    <t>Crear el documento del incremento 2 y organizar las tareas a resolver para dicho incremento</t>
  </si>
  <si>
    <t>Creacion de vistas y controladores</t>
  </si>
  <si>
    <t>Renato Navarro, Vicente Aravena</t>
  </si>
  <si>
    <t>Crear las vistas y controladores que se van a incorporar en el incremento 2</t>
  </si>
  <si>
    <t>Arreglo de vistas y controladores</t>
  </si>
  <si>
    <t>Renato Navarro, Clemente Carreño</t>
  </si>
  <si>
    <t>terminado</t>
  </si>
  <si>
    <t>Se revisaron todas las vistas y controladores desarrollados anteriormente, ademas se añadieron vistas y controladores adicionales necesarios para incremento 2</t>
  </si>
  <si>
    <t>Arreglo de diagramas de secuencias</t>
  </si>
  <si>
    <t>Revision y correccion de secciones dentro del incremento 2</t>
  </si>
  <si>
    <t>Vicente Aravena, BenjamÍn Huerta, Joao Morales</t>
  </si>
  <si>
    <t>Revisión extensa del documento del incremento 2 para ir ajustando cada sección del documento con su correspondiente contenido y requisitos</t>
  </si>
  <si>
    <t>CU07</t>
  </si>
  <si>
    <t>RF7</t>
  </si>
  <si>
    <t>Modelar detalle de producto y lotes activos</t>
  </si>
  <si>
    <t>CU11</t>
  </si>
  <si>
    <t>RF11</t>
  </si>
  <si>
    <t>Modelar ajuste de stock</t>
  </si>
  <si>
    <t>CU12</t>
  </si>
  <si>
    <t>RF12</t>
  </si>
  <si>
    <t>Modelar historial de movimientos de inventario</t>
  </si>
  <si>
    <t>CU13</t>
  </si>
  <si>
    <t>RF13</t>
  </si>
  <si>
    <t>Modelar registro de proveedores</t>
  </si>
  <si>
    <t>CU14</t>
  </si>
  <si>
    <t>RF14</t>
  </si>
  <si>
    <t>Modelar Modificacion de Proveedores</t>
  </si>
  <si>
    <t>CU15</t>
  </si>
  <si>
    <t>RF15</t>
  </si>
  <si>
    <t>Modelar Listado de Proveedores</t>
  </si>
  <si>
    <t>CU16</t>
  </si>
  <si>
    <t>RF16</t>
  </si>
  <si>
    <t>Modelar Lista de Reabastecimiento</t>
  </si>
  <si>
    <t>CU17</t>
  </si>
  <si>
    <t>RF17</t>
  </si>
  <si>
    <t>Modelar Valorizacion del Inventario</t>
  </si>
  <si>
    <t>CU35</t>
  </si>
  <si>
    <t>RF35</t>
  </si>
  <si>
    <t>Modelar config de porcentajes de deescuento previsional</t>
  </si>
  <si>
    <t>CU37</t>
  </si>
  <si>
    <t>RF37</t>
  </si>
  <si>
    <t>Modelar aplicacion de venta</t>
  </si>
  <si>
    <t>CU38</t>
  </si>
  <si>
    <t>RF38</t>
  </si>
  <si>
    <t>Modelar anulacion de venta</t>
  </si>
  <si>
    <t>CU41</t>
  </si>
  <si>
    <t>RF41</t>
  </si>
  <si>
    <t>Modelar Consultado y buscando ventas</t>
  </si>
  <si>
    <t>CU22</t>
  </si>
  <si>
    <t>RF22</t>
  </si>
  <si>
    <t>Modelar modificar trabajador</t>
  </si>
  <si>
    <t>CU23</t>
  </si>
  <si>
    <t>RF23</t>
  </si>
  <si>
    <t>Modelar cambiar estado de trabajador</t>
  </si>
  <si>
    <t>CU24</t>
  </si>
  <si>
    <t>RF24</t>
  </si>
  <si>
    <t>Modelar listado trabajadores</t>
  </si>
  <si>
    <t>CU26</t>
  </si>
  <si>
    <t>RF26</t>
  </si>
  <si>
    <t>Modelo editar turno</t>
  </si>
  <si>
    <t>CU27</t>
  </si>
  <si>
    <t>RF27</t>
  </si>
  <si>
    <t>Modelar Eliminacion de turno trabajador</t>
  </si>
  <si>
    <t>CU28</t>
  </si>
  <si>
    <t>RF28</t>
  </si>
  <si>
    <t>Modelar calendario semanal de turnos</t>
  </si>
  <si>
    <t>CU31</t>
  </si>
  <si>
    <t>RF31</t>
  </si>
  <si>
    <t xml:space="preserve">Modelar calculo de horas trabajadas por dia </t>
  </si>
  <si>
    <t>CU34</t>
  </si>
  <si>
    <t>RF34</t>
  </si>
  <si>
    <t>Modelar registro remuneracion mensual</t>
  </si>
  <si>
    <t>CU43</t>
  </si>
  <si>
    <t>RF43</t>
  </si>
  <si>
    <t>Registro usuario responsable en venta</t>
  </si>
  <si>
    <t>CU44</t>
  </si>
  <si>
    <t>RF44</t>
  </si>
  <si>
    <t>Visualización de total de ventas en el día</t>
  </si>
  <si>
    <t>CU57</t>
  </si>
  <si>
    <t>RF57</t>
  </si>
  <si>
    <t>Control de acceso por roles</t>
  </si>
  <si>
    <t>Actualizar y arreglar flujos principal y excepciones detalle de producto y lotes activos</t>
  </si>
  <si>
    <t xml:space="preserve"> Actualizar y arreglar flujos principal y excepciones Modelar ajuste de stock</t>
  </si>
  <si>
    <t>Actualizar y arreglar flujos principal y excepciones Modelar historial de movimientos de inventario</t>
  </si>
  <si>
    <t>Actualizar y arreglar flujos principal y excepciones Modelar registro de proveedores</t>
  </si>
  <si>
    <t>CU18</t>
  </si>
  <si>
    <t>RF18</t>
  </si>
  <si>
    <t xml:space="preserve">desarrollar el diagrama completo </t>
  </si>
  <si>
    <t>CU18b</t>
  </si>
  <si>
    <t>CU19</t>
  </si>
  <si>
    <t>RF19</t>
  </si>
  <si>
    <t xml:space="preserve">Planificacion de desarrollo </t>
  </si>
  <si>
    <t>auditar y planficar completamente el desarrollo del incremento 2 dentro del proyecto</t>
  </si>
  <si>
    <t xml:space="preserve">Diagramas incremento1 </t>
  </si>
  <si>
    <t>Mejorar Diagramas incremento 1</t>
  </si>
  <si>
    <t>hacer correcciones correspondientes a diagramas</t>
  </si>
  <si>
    <t>Correccion Diagramas incremento 1 ( cu25-cu56)</t>
  </si>
  <si>
    <t>hacer correcciones correspondientes a diagramas, actualizando en el documento</t>
  </si>
  <si>
    <t>Tablas Incremento 2</t>
  </si>
  <si>
    <t>Implementar tabla de los casos de prueba funcionales para incremento 2</t>
  </si>
  <si>
    <t>Definir cada RF con su respectivo CU, para validar las funcionalidades implementadas en el Incremento 2.</t>
  </si>
  <si>
    <t>CU7</t>
  </si>
  <si>
    <t>Programación de detalle de producto y lotes activos</t>
  </si>
  <si>
    <t>Implementar consulta de detalle de productos y lotes activos</t>
  </si>
  <si>
    <t>Programación de ajuste manual de stock por lote</t>
  </si>
  <si>
    <t>Implementar ajuste manual de stock por lote</t>
  </si>
  <si>
    <t>Programación de consulta y filtros de movimientos de inventario</t>
  </si>
  <si>
    <t>Implementar consulta y filtros de movimientos de inventario</t>
  </si>
  <si>
    <t>Programación de registro y validación de proveedores</t>
  </si>
  <si>
    <t>Implementar registro de proveedores</t>
  </si>
  <si>
    <t>Programación de modificación de datos de proveedores</t>
  </si>
  <si>
    <t>Implementar modificación de datos de proveedores</t>
  </si>
  <si>
    <t>Programación de listado, búsqueda y filtros de proveedores</t>
  </si>
  <si>
    <t>Implementar listado, búsqueda y filtros de proveedores</t>
  </si>
  <si>
    <t>Programación de lista sugerida de reabastecimiento y exportación</t>
  </si>
  <si>
    <t>Implementar generación y exportación de lista de reabastecimiento</t>
  </si>
  <si>
    <t>Programación de registro de pedidos a proveedores</t>
  </si>
  <si>
    <t>Implementar registro de pedidos a proveedores</t>
  </si>
  <si>
    <t>Programación de recepción de pedidos y actualización de stock</t>
  </si>
  <si>
    <t>Implementar recepción de pedidos y actualización de stock</t>
  </si>
  <si>
    <t>Programación de cancelación de pedidos pendientes</t>
  </si>
  <si>
    <t>Implementar cancelación de pedidos pendientes</t>
  </si>
  <si>
    <t>SS</t>
  </si>
  <si>
    <t>Programación de cálculo y consulta del valor del inventario</t>
  </si>
  <si>
    <t>Implementar cálculo y consulta del valor del inventario</t>
  </si>
  <si>
    <t>Programación de modificación de datos de trabajadores</t>
  </si>
  <si>
    <t>Bastián Ibañez</t>
  </si>
  <si>
    <t>Implementar modificación de datos de trabajadores</t>
  </si>
  <si>
    <t>Programación de cambio de estado activo/inactivo de trabajadores</t>
  </si>
  <si>
    <t>Implementar activación y desactivación de trabajadores</t>
  </si>
  <si>
    <t>Programación de listado, búsqueda y filtros de trabajadores</t>
  </si>
  <si>
    <t>Implementar listado, búsqueda y filtros de trabajadores</t>
  </si>
  <si>
    <t>Programación de modificación de turnos y validación de horarios</t>
  </si>
  <si>
    <t>Implementar modificación de turnos y validación de horarios</t>
  </si>
  <si>
    <t>Programación de eliminación de turnos no iniciados</t>
  </si>
  <si>
    <t>Implementar eliminación de turnos no iniciados</t>
  </si>
  <si>
    <t>Programación de calendario semanal de turnos y filtros</t>
  </si>
  <si>
    <t>Implementar calendario semanal de turnos</t>
  </si>
  <si>
    <t>Programación de cálculo automático de horas trabajadas por día</t>
  </si>
  <si>
    <t>Implementar cálculo diario de horas trabajadas</t>
  </si>
  <si>
    <t>Programación de registro de remuneraciones y cálculo de descuentos</t>
  </si>
  <si>
    <t>Implementar registro de remuneraciones y cálculo de descuentos</t>
  </si>
  <si>
    <t>Programación de configuración de porcentajes de descuentos previsionales</t>
  </si>
  <si>
    <t>Implementar configuración de porcentajes de descuentos previsionales</t>
  </si>
  <si>
    <t>Programación de descuentos en ventas y recálculo del total</t>
  </si>
  <si>
    <t>Implementar descuentos en ventas y recálculo del total</t>
  </si>
  <si>
    <t>Programación de anulación de ventas y reposición de stock</t>
  </si>
  <si>
    <t>Implementar anulación de ventas y reposición de stock</t>
  </si>
  <si>
    <t>Programación de búsqueda, filtros y consulta de detalle de ventas</t>
  </si>
  <si>
    <t>Implementar búsqueda y consulta de detalle de ventas</t>
  </si>
  <si>
    <t>Programación de asignación automática del usuario responsable de cada venta</t>
  </si>
  <si>
    <t>Implementar asignación automática del responsable de cada venta</t>
  </si>
  <si>
    <t>Programación de visualización de ventas diarias en tiempo real</t>
  </si>
  <si>
    <t>Implementar visualización de ventas diarias en tiempo real</t>
  </si>
  <si>
    <t>Programación de control de acceso según rol de usuario</t>
  </si>
  <si>
    <t>Implementar control de acceso según rol de usuario</t>
  </si>
  <si>
    <t>Creación del documento del Incremento 3 y organización del trabajo</t>
  </si>
  <si>
    <t>Crear el documento del incremento 3 y repartir sus secciones</t>
  </si>
  <si>
    <t>Planificación</t>
  </si>
  <si>
    <t>Sprint planning y cierre de decisiones abiertas</t>
  </si>
  <si>
    <t>Acordar alcance, reparto, contratos y criterios de cálculo del sprint</t>
  </si>
  <si>
    <t>Corrección de la Tabla 2.1 del Incremento 2 (distribución 19/25/18/0)</t>
  </si>
  <si>
    <t>Mantener la trazabilidad de porcentajes entre incrementos</t>
  </si>
  <si>
    <t>Revisión y ajuste de vistas y controladores del Incremento 3</t>
  </si>
  <si>
    <t>Validar V34–V46, C49–C61 y UI06–UI11 contra el código existente</t>
  </si>
  <si>
    <t>CU20</t>
  </si>
  <si>
    <t>RF20</t>
  </si>
  <si>
    <t>Modelar exportación del listado de productos</t>
  </si>
  <si>
    <t>CU32</t>
  </si>
  <si>
    <t>RF32</t>
  </si>
  <si>
    <t>Modelar registro de ausencia</t>
  </si>
  <si>
    <t>CU33</t>
  </si>
  <si>
    <t>RF33</t>
  </si>
  <si>
    <t>Modelar resumen mensual de asistencia</t>
  </si>
  <si>
    <t>CU45</t>
  </si>
  <si>
    <t>RF45</t>
  </si>
  <si>
    <t>Modelar registro de categoría por venta</t>
  </si>
  <si>
    <t>CU46</t>
  </si>
  <si>
    <t>RF46</t>
  </si>
  <si>
    <t>Modelar reporte diario de ventas</t>
  </si>
  <si>
    <t>CU47</t>
  </si>
  <si>
    <t>RF47</t>
  </si>
  <si>
    <t>Modelar reporte mensual de ventas</t>
  </si>
  <si>
    <t>CU48</t>
  </si>
  <si>
    <t>RF48</t>
  </si>
  <si>
    <t>Modelar reporte de productos más vendidos</t>
  </si>
  <si>
    <t>CU49</t>
  </si>
  <si>
    <t>RF49</t>
  </si>
  <si>
    <t>Modelar reporte de mermas</t>
  </si>
  <si>
    <t>CU50</t>
  </si>
  <si>
    <t>RF50</t>
  </si>
  <si>
    <t>Modelar reporte de lotes próximos a vencer</t>
  </si>
  <si>
    <t>CU51</t>
  </si>
  <si>
    <t>RF51</t>
  </si>
  <si>
    <t>Modelar reporte de rentabilidad por categoría</t>
  </si>
  <si>
    <t>CU52</t>
  </si>
  <si>
    <t>RF52</t>
  </si>
  <si>
    <t>Modelar reporte de asistencia</t>
  </si>
  <si>
    <t>CU53</t>
  </si>
  <si>
    <t>RF53</t>
  </si>
  <si>
    <t>Modelar reporte de auditoría de movimientos</t>
  </si>
  <si>
    <t>CU54</t>
  </si>
  <si>
    <t>RF54</t>
  </si>
  <si>
    <t>Modelar exportación de reportes</t>
  </si>
  <si>
    <t>CU58</t>
  </si>
  <si>
    <t>RF58</t>
  </si>
  <si>
    <t>Modelar log de auditoría</t>
  </si>
  <si>
    <t>25/9/2026</t>
  </si>
  <si>
    <t>27/9/2026</t>
  </si>
  <si>
    <t>CU59</t>
  </si>
  <si>
    <t>RF59</t>
  </si>
  <si>
    <t>Modelar restablecimiento de contraseña</t>
  </si>
  <si>
    <t>CU60</t>
  </si>
  <si>
    <t>RF60</t>
  </si>
  <si>
    <t>Modelar lectura de código EAN-13</t>
  </si>
  <si>
    <t>CU61</t>
  </si>
  <si>
    <t>RF61</t>
  </si>
  <si>
    <t>Modelar transmisión automática de código escaneado</t>
  </si>
  <si>
    <t>CU62</t>
  </si>
  <si>
    <t>RF62</t>
  </si>
  <si>
    <t>Modelar detección de lectura fallida</t>
  </si>
  <si>
    <t>Contrato de reportes exportables (shared/reports.ts)</t>
  </si>
  <si>
    <t>Definir tipos, encabezado y nombre de archivo comunes a todos los reportes</t>
  </si>
  <si>
    <t>Grupo de navegación Reportes y política de permisos por reporte</t>
  </si>
  <si>
    <t>Joao Morales, Bastián Ibáñez</t>
  </si>
  <si>
    <t>Habilitar rutas /app/reportes y restringir reportes según rol</t>
  </si>
  <si>
    <t>Migración 0005: categoría histórica en detalle de venta y actualización del modelo de datos</t>
  </si>
  <si>
    <t>Joao Morales, Renato Navarro</t>
  </si>
  <si>
    <t>Persistir la categoría de cada línea de venta de forma inmutable</t>
  </si>
  <si>
    <t>Actualización del árbol de navegación del Incremento 3</t>
  </si>
  <si>
    <t>Incorporar el grupo Reportes y las nuevas vistas de asistencia y administración</t>
  </si>
  <si>
    <t>Actualización de diagramas de componentes y despliegue</t>
  </si>
  <si>
    <t>Reflejar los nuevos módulos y tecnologías (recharts, Web Audio)</t>
  </si>
  <si>
    <t>Programación de exportación del listado de productos a PDF y Excel</t>
  </si>
  <si>
    <t>Implementar exportación del listado de productos</t>
  </si>
  <si>
    <t>Programación de registro de ausencias con validaciones</t>
  </si>
  <si>
    <t>Implementar registro de ausencia</t>
  </si>
  <si>
    <t>Programación del resumen mensual de asistencia por trabajador</t>
  </si>
  <si>
    <t>Implementar resumen mensual de asistencia</t>
  </si>
  <si>
    <t>Programación de categoría histórica por venta y desglose por período</t>
  </si>
  <si>
    <t>Implementar registro de categoría por venta</t>
  </si>
  <si>
    <t>Programación del reporte diario de ventas con top 5 y estado de caja</t>
  </si>
  <si>
    <t>Implementar reporte diario de ventas</t>
  </si>
  <si>
    <t>Programación del reporte mensual con gráfico y comparación mensual</t>
  </si>
  <si>
    <t>Implementar reporte mensual de ventas</t>
  </si>
  <si>
    <t>Programación del reporte de los 20 productos más vendidos</t>
  </si>
  <si>
    <t>Implementar reporte de productos más vendidos</t>
  </si>
  <si>
    <t>Programación del reporte de mermas con costo de pérdidas</t>
  </si>
  <si>
    <t>Implementar reporte de mermas</t>
  </si>
  <si>
    <t>Programación del reporte de lotes por vencer con horizonte configurable</t>
  </si>
  <si>
    <t>Implementar reporte de lotes próximos a vencer</t>
  </si>
  <si>
    <t>Programación del reporte de rentabilidad por categoría</t>
  </si>
  <si>
    <t>Implementar reporte de rentabilidad por categoría</t>
  </si>
  <si>
    <t>Programación del reporte mensual de asistencia del personal</t>
  </si>
  <si>
    <t>Implementar reporte de asistencia</t>
  </si>
  <si>
    <t>Programación del reporte de movimientos con stock resultante y filtros</t>
  </si>
  <si>
    <t>Implementar reporte de auditoría de movimientos</t>
  </si>
  <si>
    <t>Generalización de la exportación PDF/Excel mediante registro de reportes</t>
  </si>
  <si>
    <t>Implementar exportación de reportes</t>
  </si>
  <si>
    <t>Programación de retención de 12 meses y auditoría de consultas y exportaciones</t>
  </si>
  <si>
    <t>Implementar log de auditoría</t>
  </si>
  <si>
    <t>Programación de revocación de sesiones al restablecer contraseña</t>
  </si>
  <si>
    <t>Implementar restablecimiento de contraseña</t>
  </si>
  <si>
    <t>29/9/2026</t>
  </si>
  <si>
    <t>Programación de detección de captura del escáner y validación EAN-13</t>
  </si>
  <si>
    <t>Implementar lectura de código EAN-13</t>
  </si>
  <si>
    <t>Programación de envío del código al campo de búsqueda activo en 7 vistas</t>
  </si>
  <si>
    <t>Implementar transmisión automática de código escaneado</t>
  </si>
  <si>
    <t>Programación de señal sonora de fallo y reintento sin interrumpir la operación</t>
  </si>
  <si>
    <t>Implementar detección de lectura fallida</t>
  </si>
  <si>
    <t>Integración central: controladores, navegación, montaje de vistas y migraciones</t>
  </si>
  <si>
    <t>Ensamblar los bloques en entregas pequeñas sin conflictos</t>
  </si>
  <si>
    <t>Tablas Incremento 3</t>
  </si>
  <si>
    <t>Tabla de casos de prueba funcionales CP49–CP66</t>
  </si>
  <si>
    <t>Definir un caso de prueba por RF del incremento</t>
  </si>
  <si>
    <t>Pruebas</t>
  </si>
  <si>
    <t>Pruebas integradas entre bloques</t>
  </si>
  <si>
    <t>Validar flujos venta-rentabilidad, ausencia-reportes y movimientos-auditoría</t>
  </si>
  <si>
    <t>Registro de evidencias de pruebas por CU</t>
  </si>
  <si>
    <t>Capturar evidencia de cada caso de prueba aprobado</t>
  </si>
  <si>
    <t>Trazabilidad del Incremento 3</t>
  </si>
  <si>
    <t>Clemente Carreño, Tomás Núñez</t>
  </si>
  <si>
    <t>Relacionar RF, CU, diseño y pruebas del incremento</t>
  </si>
  <si>
    <t>Corrección de Incremento 2, Incremento 1 y Documento 0</t>
  </si>
  <si>
    <t>Incorporar observaciones de entregas anteriores</t>
  </si>
  <si>
    <t>Scrum</t>
  </si>
  <si>
    <t>Registro de Daily Scrum Meeting del sprint</t>
  </si>
  <si>
    <t>Documentar avance diario, impedimentos y acuerdos</t>
  </si>
  <si>
    <t>Sprint Review y Sprint Retrospective</t>
  </si>
  <si>
    <t>Revisar objetivos alcanzados y definir mejoras</t>
  </si>
  <si>
    <t>Elaboración de BurnDown y BurnUp del Incremento 3</t>
  </si>
  <si>
    <t>Graficar el avance real contra el ideal del sprint</t>
  </si>
  <si>
    <t>Informe de commits del Incremento 3</t>
  </si>
  <si>
    <t>Respaldar la participación de todos los integrantes en GIT</t>
  </si>
  <si>
    <t>Documento y video de instalación</t>
  </si>
  <si>
    <t>Explicar la instalación del sistema actualizado</t>
  </si>
  <si>
    <t>Video de funcionalidades del Incremento 3</t>
  </si>
  <si>
    <t>Benjamín Huerta, Renato Navarro</t>
  </si>
  <si>
    <t>Mostrar las funcionalidades implementadas en el incremento</t>
  </si>
  <si>
    <t>Presentación</t>
  </si>
  <si>
    <t>Presentación PPT del Incremento 3</t>
  </si>
  <si>
    <t>Preparar la presentación formal y la demo</t>
  </si>
  <si>
    <t>Actualizacion de Bizagi</t>
  </si>
  <si>
    <t>Actualizar el bizagi con las actualizaciones del sistema</t>
  </si>
  <si>
    <t>Total Incremento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</si>
</sst>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/>
    <font>
      <sz val="9.0"/>
      <color rgb="FF000000"/>
      <name val="Arial"/>
    </font>
    <font>
      <sz val="9.0"/>
      <color rgb="FF000000"/>
      <name val="Times New Roman"/>
    </font>
    <font>
      <sz val="11.0"/>
      <color rgb="FF166534"/>
      <name val="Calibri"/>
    </font>
    <font>
      <sz val="11.0"/>
      <color rgb="FFB91C1C"/>
      <name val="Calibri"/>
    </font>
    <font>
      <color theme="1"/>
      <name val="Calibri"/>
    </font>
    <font>
      <sz val="11.0"/>
      <color rgb="FF434343"/>
      <name val="Calibri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79646"/>
        <bgColor rgb="FFF79646"/>
      </patternFill>
    </fill>
    <fill>
      <patternFill patternType="solid">
        <fgColor rgb="FFF2B233"/>
        <bgColor rgb="FFF2B233"/>
      </patternFill>
    </fill>
    <fill>
      <patternFill patternType="solid">
        <fgColor rgb="FF00A8D8"/>
        <bgColor rgb="FF00A8D8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1" fillId="3" fontId="1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4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shrinkToFit="0" vertical="center" wrapText="1"/>
    </xf>
    <xf borderId="0" fillId="6" fontId="3" numFmtId="1" xfId="0" applyAlignment="1" applyFill="1" applyFont="1" applyNumberFormat="1">
      <alignment horizontal="center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6" fontId="3" numFmtId="14" xfId="0" applyAlignment="1" applyFill="1" applyFont="1" applyNumberFormat="1">
      <alignment horizontal="center" shrinkToFit="0" vertical="center" wrapText="1"/>
    </xf>
    <xf borderId="0" fillId="7" fontId="3" numFmtId="0" xfId="0" applyAlignment="1" applyFill="1" applyFont="1">
      <alignment horizontal="center" shrinkToFit="0" vertical="center" wrapText="1"/>
    </xf>
    <xf borderId="0" fillId="7" fontId="3" numFmtId="0" xfId="0" applyAlignment="1" applyFill="1" applyFont="1">
      <alignment shrinkToFit="0" vertical="center" wrapText="1"/>
    </xf>
    <xf borderId="0" fillId="7" fontId="3" numFmtId="1" xfId="0" applyAlignment="1" applyFill="1" applyFont="1" applyNumberFormat="1">
      <alignment horizontal="center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0" fillId="7" fontId="3" numFmtId="14" xfId="0" applyAlignment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4" fillId="8" fontId="1" numFmtId="0" xfId="0" applyAlignment="1" applyBorder="1" applyFill="1" applyFont="1">
      <alignment horizontal="center" shrinkToFit="0" vertical="center" wrapText="1"/>
    </xf>
    <xf borderId="0" fillId="9" fontId="3" numFmtId="0" xfId="0" applyAlignment="1" applyFill="1" applyFont="1">
      <alignment horizontal="center" shrinkToFit="0" wrapText="1"/>
    </xf>
    <xf borderId="0" fillId="9" fontId="3" numFmtId="1" xfId="0" applyAlignment="1" applyFill="1" applyFont="1" applyNumberFormat="1">
      <alignment horizontal="center" shrinkToFit="0" wrapText="1"/>
    </xf>
    <xf borderId="0" fillId="9" fontId="3" numFmtId="0" xfId="0" applyAlignment="1" applyFill="1" applyFont="1">
      <alignment horizontal="center" readingOrder="0" shrinkToFit="0" wrapText="1"/>
    </xf>
    <xf borderId="0" fillId="9" fontId="3" numFmtId="0" xfId="0" applyAlignment="1" applyFill="1" applyFont="1">
      <alignment horizontal="left" shrinkToFit="0" wrapText="1"/>
    </xf>
    <xf borderId="0" fillId="9" fontId="3" numFmtId="164" xfId="0" applyAlignment="1" applyFill="1" applyFont="1" applyNumberFormat="1">
      <alignment horizontal="center" shrinkToFit="0" vertical="bottom" wrapText="1"/>
    </xf>
    <xf borderId="0" fillId="9" fontId="3" numFmtId="1" xfId="0" applyAlignment="1" applyFill="1" applyFont="1" applyNumberFormat="1">
      <alignment horizontal="center"/>
    </xf>
    <xf borderId="0" fillId="9" fontId="7" numFmtId="1" xfId="0" applyAlignment="1" applyFill="1" applyFont="1" applyNumberFormat="1">
      <alignment horizontal="center" shrinkToFit="0" wrapText="1"/>
    </xf>
    <xf borderId="0" fillId="6" fontId="3" numFmtId="0" xfId="0" applyAlignment="1" applyFill="1" applyFont="1">
      <alignment horizontal="center" shrinkToFit="0" wrapText="1"/>
    </xf>
    <xf borderId="0" fillId="6" fontId="3" numFmtId="1" xfId="0" applyAlignment="1" applyFill="1" applyFont="1" applyNumberFormat="1">
      <alignment horizontal="center" shrinkToFit="0" wrapText="1"/>
    </xf>
    <xf borderId="0" fillId="6" fontId="3" numFmtId="0" xfId="0" applyAlignment="1" applyFill="1" applyFont="1">
      <alignment horizontal="left" shrinkToFit="0" wrapText="1"/>
    </xf>
    <xf borderId="0" fillId="6" fontId="3" numFmtId="164" xfId="0" applyAlignment="1" applyFill="1" applyFont="1" applyNumberFormat="1">
      <alignment horizontal="center" shrinkToFit="0" vertical="bottom" wrapText="1"/>
    </xf>
    <xf borderId="0" fillId="6" fontId="3" numFmtId="1" xfId="0" applyAlignment="1" applyFill="1" applyFont="1" applyNumberFormat="1">
      <alignment horizontal="center"/>
    </xf>
    <xf borderId="0" fillId="6" fontId="7" numFmtId="1" xfId="0" applyAlignment="1" applyFill="1" applyFont="1" applyNumberFormat="1">
      <alignment horizontal="center" shrinkToFit="0" wrapText="1"/>
    </xf>
    <xf borderId="0" fillId="9" fontId="3" numFmtId="0" xfId="0" applyAlignment="1" applyFill="1" applyFont="1">
      <alignment horizontal="center" shrinkToFit="0" vertical="bottom" wrapText="1"/>
    </xf>
    <xf borderId="0" fillId="9" fontId="3" numFmtId="1" xfId="0" applyAlignment="1" applyFill="1" applyFont="1" applyNumberFormat="1">
      <alignment horizontal="center" shrinkToFit="0" vertical="bottom" wrapText="1"/>
    </xf>
    <xf borderId="0" fillId="9" fontId="8" numFmtId="1" xfId="0" applyAlignment="1" applyFill="1" applyFont="1" applyNumberFormat="1">
      <alignment horizontal="center" shrinkToFit="0" wrapText="1"/>
    </xf>
    <xf borderId="0" fillId="6" fontId="3" numFmtId="0" xfId="0" applyAlignment="1" applyFill="1" applyFont="1">
      <alignment horizontal="left"/>
    </xf>
    <xf borderId="0" fillId="6" fontId="3" numFmtId="0" xfId="0" applyAlignment="1" applyFill="1" applyFont="1">
      <alignment horizontal="center" shrinkToFit="0" vertical="bottom" wrapText="1"/>
    </xf>
    <xf borderId="0" fillId="6" fontId="3" numFmtId="1" xfId="0" applyAlignment="1" applyFill="1" applyFont="1" applyNumberFormat="1">
      <alignment horizontal="center" shrinkToFit="0" vertical="bottom" wrapText="1"/>
    </xf>
    <xf borderId="0" fillId="6" fontId="8" numFmtId="1" xfId="0" applyAlignment="1" applyFill="1" applyFont="1" applyNumberFormat="1">
      <alignment horizontal="center" shrinkToFit="0" wrapText="1"/>
    </xf>
    <xf borderId="0" fillId="9" fontId="3" numFmtId="0" xfId="0" applyAlignment="1" applyFill="1" applyFont="1">
      <alignment horizontal="center" vertical="bottom"/>
    </xf>
    <xf borderId="0" fillId="9" fontId="3" numFmtId="1" xfId="0" applyAlignment="1" applyFill="1" applyFont="1" applyNumberForma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6" fontId="3" numFmtId="1" xfId="0" applyAlignment="1" applyFill="1" applyFont="1" applyNumberFormat="1">
      <alignment horizontal="center" vertical="bottom"/>
    </xf>
    <xf borderId="0" fillId="6" fontId="3" numFmtId="0" xfId="0" applyAlignment="1" applyFill="1" applyFont="1">
      <alignment horizontal="center"/>
    </xf>
    <xf borderId="0" fillId="6" fontId="3" numFmtId="0" xfId="0" applyAlignment="1" applyFill="1" applyFont="1">
      <alignment horizontal="left" shrinkToFit="0" vertical="center" wrapText="1"/>
    </xf>
    <xf borderId="0" fillId="6" fontId="3" numFmtId="1" xfId="0" applyAlignment="1" applyFill="1" applyFont="1" applyNumberFormat="1">
      <alignment horizontal="center" vertical="center"/>
    </xf>
    <xf borderId="0" fillId="9" fontId="3" numFmtId="0" xfId="0" applyAlignment="1" applyFill="1" applyFont="1">
      <alignment horizontal="center" shrinkToFit="0" vertical="center" wrapText="1"/>
    </xf>
    <xf borderId="0" fillId="9" fontId="3" numFmtId="0" xfId="0" applyAlignment="1" applyFill="1" applyFont="1">
      <alignment horizontal="left" shrinkToFit="0" vertical="center" wrapText="1"/>
    </xf>
    <xf borderId="0" fillId="9" fontId="3" numFmtId="1" xfId="0" applyAlignment="1" applyFill="1" applyFont="1" applyNumberFormat="1">
      <alignment horizontal="center" vertical="center"/>
    </xf>
    <xf borderId="0" fillId="9" fontId="3" numFmtId="1" xfId="0" applyAlignment="1" applyFill="1" applyFont="1" applyNumberFormat="1">
      <alignment horizontal="center" shrinkToFit="0" vertical="center" wrapText="1"/>
    </xf>
    <xf borderId="0" fillId="9" fontId="3" numFmtId="0" xfId="0" applyAlignment="1" applyFill="1" applyFont="1">
      <alignment horizontal="center"/>
    </xf>
    <xf borderId="0" fillId="6" fontId="9" numFmtId="0" xfId="0" applyAlignment="1" applyFill="1" applyFont="1">
      <alignment horizontal="center"/>
    </xf>
    <xf borderId="0" fillId="6" fontId="9" numFmtId="0" xfId="0" applyAlignment="1" applyFill="1" applyFont="1">
      <alignment horizontal="left"/>
    </xf>
    <xf borderId="0" fillId="9" fontId="9" numFmtId="0" xfId="0" applyAlignment="1" applyFill="1" applyFont="1">
      <alignment horizontal="center"/>
    </xf>
    <xf borderId="0" fillId="9" fontId="9" numFmtId="0" xfId="0" applyAlignment="1" applyFill="1" applyFont="1">
      <alignment horizontal="left"/>
    </xf>
    <xf borderId="5" fillId="9" fontId="10" numFmtId="0" xfId="0" applyAlignment="1" applyBorder="1" applyFill="1" applyFont="1">
      <alignment horizontal="center" vertical="bottom"/>
    </xf>
    <xf borderId="6" fillId="9" fontId="10" numFmtId="0" xfId="0" applyAlignment="1" applyBorder="1" applyFill="1" applyFont="1">
      <alignment horizontal="center" shrinkToFit="0" vertical="bottom" wrapText="1"/>
    </xf>
    <xf borderId="6" fillId="9" fontId="10" numFmtId="1" xfId="0" applyAlignment="1" applyBorder="1" applyFill="1" applyFont="1" applyNumberFormat="1">
      <alignment horizontal="center" shrinkToFit="0" vertical="bottom" wrapText="1"/>
    </xf>
    <xf borderId="6" fillId="9" fontId="10" numFmtId="0" xfId="0" applyAlignment="1" applyBorder="1" applyFill="1" applyFont="1">
      <alignment horizontal="left" shrinkToFit="0" vertical="bottom" wrapText="1"/>
    </xf>
    <xf borderId="0" fillId="9" fontId="3" numFmtId="164" xfId="0" applyAlignment="1" applyFill="1" applyFont="1" applyNumberFormat="1">
      <alignment horizontal="center" shrinkToFit="0" wrapText="1"/>
    </xf>
    <xf borderId="6" fillId="9" fontId="3" numFmtId="1" xfId="0" applyAlignment="1" applyBorder="1" applyFill="1" applyFont="1" applyNumberFormat="1">
      <alignment horizontal="center" vertical="bottom"/>
    </xf>
    <xf borderId="7" fillId="9" fontId="3" numFmtId="1" xfId="0" applyAlignment="1" applyBorder="1" applyFill="1" applyFont="1" applyNumberFormat="1">
      <alignment horizontal="center" vertical="bottom"/>
    </xf>
    <xf borderId="5" fillId="6" fontId="10" numFmtId="0" xfId="0" applyAlignment="1" applyBorder="1" applyFill="1" applyFont="1">
      <alignment horizontal="center" vertical="bottom"/>
    </xf>
    <xf borderId="6" fillId="6" fontId="10" numFmtId="0" xfId="0" applyAlignment="1" applyBorder="1" applyFill="1" applyFont="1">
      <alignment horizontal="center" shrinkToFit="0" vertical="bottom" wrapText="1"/>
    </xf>
    <xf borderId="6" fillId="6" fontId="10" numFmtId="0" xfId="0" applyAlignment="1" applyBorder="1" applyFill="1" applyFont="1">
      <alignment horizontal="center" vertical="bottom"/>
    </xf>
    <xf borderId="6" fillId="6" fontId="10" numFmtId="1" xfId="0" applyAlignment="1" applyBorder="1" applyFill="1" applyFont="1" applyNumberFormat="1">
      <alignment horizontal="center" vertical="bottom"/>
    </xf>
    <xf borderId="6" fillId="6" fontId="10" numFmtId="0" xfId="0" applyAlignment="1" applyBorder="1" applyFill="1" applyFont="1">
      <alignment horizontal="left" shrinkToFit="0" vertical="bottom" wrapText="1"/>
    </xf>
    <xf borderId="0" fillId="6" fontId="3" numFmtId="164" xfId="0" applyAlignment="1" applyFill="1" applyFont="1" applyNumberFormat="1">
      <alignment horizontal="center" shrinkToFit="0" wrapText="1"/>
    </xf>
    <xf borderId="6" fillId="6" fontId="3" numFmtId="1" xfId="0" applyAlignment="1" applyBorder="1" applyFill="1" applyFont="1" applyNumberFormat="1">
      <alignment horizontal="center" vertical="bottom"/>
    </xf>
    <xf borderId="7" fillId="6" fontId="3" numFmtId="1" xfId="0" applyAlignment="1" applyBorder="1" applyFill="1" applyFont="1" applyNumberFormat="1">
      <alignment horizontal="center" vertical="bottom"/>
    </xf>
    <xf borderId="6" fillId="9" fontId="10" numFmtId="0" xfId="0" applyAlignment="1" applyBorder="1" applyFill="1" applyFont="1">
      <alignment horizontal="center" vertical="bottom"/>
    </xf>
    <xf borderId="6" fillId="9" fontId="10" numFmtId="1" xfId="0" applyAlignment="1" applyBorder="1" applyFill="1" applyFont="1" applyNumberFormat="1">
      <alignment horizontal="center" vertical="bottom"/>
    </xf>
    <xf borderId="0" fillId="6" fontId="3" numFmtId="164" xfId="0" applyAlignment="1" applyFill="1" applyFont="1" applyNumberFormat="1">
      <alignment horizontal="center" vertical="center"/>
    </xf>
    <xf borderId="0" fillId="9" fontId="3" numFmtId="164" xfId="0" applyAlignment="1" applyFill="1" applyFont="1" applyNumberFormat="1">
      <alignment horizontal="center" vertical="center"/>
    </xf>
    <xf borderId="0" fillId="9" fontId="3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4" fillId="6" fontId="3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4" fillId="6" fontId="3" numFmtId="0" xfId="0" applyAlignment="1" applyBorder="1" applyFill="1" applyFont="1">
      <alignment horizontal="left" shrinkToFit="0" vertical="center" wrapText="1"/>
    </xf>
    <xf borderId="0" fillId="8" fontId="3" numFmtId="0" xfId="0" applyAlignment="1" applyFill="1" applyFont="1">
      <alignment horizontal="center" vertical="bottom"/>
    </xf>
    <xf borderId="4" fillId="8" fontId="11" numFmtId="0" xfId="0" applyAlignment="1" applyBorder="1" applyFill="1" applyFont="1">
      <alignment shrinkToFit="0" vertical="center" wrapText="1"/>
    </xf>
    <xf borderId="0" fillId="8" fontId="9" numFmtId="0" xfId="0" applyFill="1" applyFont="1"/>
    <xf borderId="4" fillId="8" fontId="11" numFmtId="0" xfId="0" applyAlignment="1" applyBorder="1" applyFill="1" applyFont="1">
      <alignment horizontal="right" shrinkToFit="0" vertical="center" wrapText="1"/>
    </xf>
    <xf borderId="0" fillId="8" fontId="3" numFmtId="1" xfId="0" applyAlignment="1" applyFill="1" applyFont="1" applyNumberFormat="1">
      <alignment horizontal="center" vertical="bottom"/>
    </xf>
    <xf borderId="4" fillId="8" fontId="11" numFmtId="14" xfId="0" applyAlignment="1" applyBorder="1" applyFill="1" applyFont="1" applyNumberFormat="1">
      <alignment shrinkToFit="0" vertical="center" wrapText="1"/>
    </xf>
    <xf borderId="4" fillId="8" fontId="11" numFmtId="1" xfId="0" applyAlignment="1" applyBorder="1" applyFill="1" applyFont="1" applyNumberFormat="1">
      <alignment shrinkToFit="0" vertical="center" wrapText="1"/>
    </xf>
    <xf borderId="0" fillId="10" fontId="3" numFmtId="0" xfId="0" applyAlignment="1" applyFill="1" applyFont="1">
      <alignment horizontal="center" vertical="bottom"/>
    </xf>
    <xf borderId="0" fillId="10" fontId="3" numFmtId="1" xfId="0" applyAlignment="1" applyFill="1" applyFont="1" applyNumberFormat="1">
      <alignment horizontal="center" vertical="bottom"/>
    </xf>
    <xf borderId="0" fillId="0" fontId="3" numFmtId="1" xfId="0" applyAlignment="1" applyFont="1" applyNumberForma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1" numFmtId="1" xfId="0" applyAlignment="1" applyFill="1" applyFont="1" applyNumberFormat="1">
      <alignment horizontal="center" shrinkToFit="0" vertical="center" wrapText="1"/>
    </xf>
    <xf borderId="0" fillId="11" fontId="3" numFmtId="0" xfId="0" applyAlignment="1" applyFill="1" applyFont="1">
      <alignment horizontal="center" shrinkToFit="0" vertical="center" wrapText="1"/>
    </xf>
    <xf borderId="0" fillId="11" fontId="3" numFmtId="0" xfId="0" applyAlignment="1" applyFill="1" applyFont="1">
      <alignment horizontal="left" shrinkToFit="0" vertical="center" wrapText="1"/>
    </xf>
    <xf borderId="0" fillId="11" fontId="3" numFmtId="1" xfId="0" applyAlignment="1" applyFill="1" applyFont="1" applyNumberFormat="1">
      <alignment horizontal="center" shrinkToFit="0" vertical="center" wrapText="1"/>
    </xf>
    <xf borderId="0" fillId="11" fontId="3" numFmtId="0" xfId="0" applyAlignment="1" applyFill="1" applyFont="1">
      <alignment horizontal="center" readingOrder="0" shrinkToFit="0" vertical="center" wrapText="1"/>
    </xf>
    <xf borderId="0" fillId="11" fontId="3" numFmtId="164" xfId="0" applyAlignment="1" applyFill="1" applyFont="1" applyNumberFormat="1">
      <alignment horizontal="center" shrinkToFit="0" vertical="center" wrapText="1"/>
    </xf>
    <xf borderId="0" fillId="11" fontId="3" numFmtId="1" xfId="0" applyAlignment="1" applyFill="1" applyFont="1" applyNumberFormat="1">
      <alignment horizontal="center" readingOrder="0" shrinkToFit="0" vertical="center" wrapText="1"/>
    </xf>
    <xf borderId="0" fillId="10" fontId="3" numFmtId="0" xfId="0" applyAlignment="1" applyFill="1" applyFont="1">
      <alignment horizontal="center" shrinkToFit="0" vertical="center" wrapText="1"/>
    </xf>
    <xf borderId="0" fillId="10" fontId="3" numFmtId="0" xfId="0" applyAlignment="1" applyFill="1" applyFont="1">
      <alignment horizontal="left" shrinkToFit="0" vertical="center" wrapText="1"/>
    </xf>
    <xf borderId="0" fillId="10" fontId="3" numFmtId="1" xfId="0" applyAlignment="1" applyFill="1" applyFont="1" applyNumberFormat="1">
      <alignment horizontal="center" shrinkToFit="0" vertical="center" wrapText="1"/>
    </xf>
    <xf borderId="0" fillId="10" fontId="3" numFmtId="0" xfId="0" applyAlignment="1" applyFill="1" applyFont="1">
      <alignment horizontal="center" readingOrder="0" shrinkToFit="0" vertical="center" wrapText="1"/>
    </xf>
    <xf borderId="0" fillId="10" fontId="3" numFmtId="164" xfId="0" applyAlignment="1" applyFill="1" applyFont="1" applyNumberFormat="1">
      <alignment horizontal="center" shrinkToFit="0" vertical="center" wrapText="1"/>
    </xf>
    <xf borderId="0" fillId="10" fontId="3" numFmtId="1" xfId="0" applyAlignment="1" applyFill="1" applyFont="1" applyNumberFormat="1">
      <alignment horizontal="center" readingOrder="0" shrinkToFit="0" vertical="center" wrapText="1"/>
    </xf>
    <xf borderId="4" fillId="11" fontId="3" numFmtId="0" xfId="0" applyAlignment="1" applyBorder="1" applyFill="1" applyFont="1">
      <alignment horizontal="center" shrinkToFit="0" vertical="center" wrapText="1"/>
    </xf>
    <xf borderId="4" fillId="11" fontId="3" numFmtId="0" xfId="0" applyAlignment="1" applyBorder="1" applyFill="1" applyFont="1">
      <alignment horizontal="left" shrinkToFit="0" vertical="center" wrapText="1"/>
    </xf>
    <xf borderId="4" fillId="11" fontId="3" numFmtId="164" xfId="0" applyAlignment="1" applyBorder="1" applyFill="1" applyFont="1" applyNumberFormat="1">
      <alignment horizontal="center" shrinkToFit="0" vertical="center" wrapText="1"/>
    </xf>
    <xf borderId="4" fillId="11" fontId="3" numFmtId="1" xfId="0" applyAlignment="1" applyBorder="1" applyFill="1" applyFont="1" applyNumberFormat="1">
      <alignment horizontal="center" readingOrder="0" shrinkToFit="0" vertical="center" wrapText="1"/>
    </xf>
    <xf borderId="4" fillId="11" fontId="3" numFmtId="1" xfId="0" applyAlignment="1" applyBorder="1" applyFill="1" applyFont="1" applyNumberFormat="1">
      <alignment horizontal="center" shrinkToFit="0" vertical="center" wrapText="1"/>
    </xf>
    <xf borderId="0" fillId="10" fontId="3" numFmtId="0" xfId="0" applyAlignment="1" applyFill="1" applyFont="1">
      <alignment horizontal="left" readingOrder="0" shrinkToFit="0" vertical="center" wrapText="1"/>
    </xf>
    <xf borderId="0" fillId="11" fontId="3" numFmtId="0" xfId="0" applyAlignment="1" applyFill="1" applyFont="1">
      <alignment horizontal="left" readingOrder="0" shrinkToFit="0" vertical="center" wrapText="1"/>
    </xf>
    <xf borderId="0" fillId="0" fontId="11" numFmtId="0" xfId="0" applyFont="1"/>
    <xf borderId="0" fillId="0" fontId="11" numFmtId="1" xfId="0" applyAlignment="1" applyFont="1" applyNumberFormat="1">
      <alignment horizont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>
        <color rgb="FFB91C1C"/>
      </font>
      <fill>
        <patternFill patternType="none"/>
      </fill>
      <border/>
    </dxf>
    <dxf>
      <font>
        <color rgb="FF166534"/>
      </font>
      <fill>
        <patternFill patternType="none"/>
      </fill>
      <border/>
    </dxf>
  </dxfs>
  <tableStyles count="2">
    <tableStyle count="3" pivot="0" name="Backlog-style">
      <tableStyleElement dxfId="1" type="headerRow"/>
      <tableStyleElement dxfId="2" type="firstRowStripe"/>
      <tableStyleElement dxfId="3" type="secondRowStripe"/>
    </tableStyle>
    <tableStyle count="3" pivot="0" name="Backlog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M53" displayName="Table_1" name="Table_1" id="1">
  <tableColumns count="13">
    <tableColumn name=" " id="1"/>
    <tableColumn name="Categoría" id="2"/>
    <tableColumn name="CU asociado" id="3"/>
    <tableColumn name="RF asociado" id="4"/>
    <tableColumn name="Tarea" id="5"/>
    <tableColumn name="Responsable" id="6"/>
    <tableColumn name="HH estimadas" id="7"/>
    <tableColumn name="Estado" id="8"/>
    <tableColumn name="Objetivo del sprint" id="9"/>
    <tableColumn name="Inicio" id="10"/>
    <tableColumn name="Fin" id="11"/>
    <tableColumn name="HH efectivas" id="12"/>
    <tableColumn name="Diferencia HH" id="13"/>
  </tableColumns>
  <tableStyleInfo name="Back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56:M120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acklo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4" width="13.0"/>
    <col customWidth="1" min="5" max="5" width="71.57"/>
    <col customWidth="1" min="6" max="6" width="28.0"/>
    <col customWidth="1" min="7" max="8" width="14.0"/>
    <col customWidth="1" min="9" max="9" width="62.29"/>
    <col customWidth="1" min="10" max="12" width="13.0"/>
    <col customWidth="1" min="13" max="13" width="14.0"/>
    <col customWidth="1" min="14" max="16" width="8.71"/>
  </cols>
  <sheetData>
    <row r="1" ht="24.0" customHeight="1">
      <c r="A1" s="5" t="s">
        <v>17</v>
      </c>
      <c r="B1" s="6"/>
      <c r="C1" s="6"/>
      <c r="D1" s="6"/>
      <c r="E1" s="6"/>
      <c r="F1" s="6"/>
      <c r="G1" s="6"/>
      <c r="H1" s="6"/>
      <c r="I1" s="7"/>
      <c r="J1" s="8" t="s">
        <v>18</v>
      </c>
      <c r="K1" s="6"/>
      <c r="L1" s="6"/>
      <c r="M1" s="7"/>
      <c r="N1" s="3"/>
      <c r="O1" s="3"/>
      <c r="P1" s="3"/>
    </row>
    <row r="2" ht="27.75" customHeight="1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  <c r="H2" s="9" t="s">
        <v>26</v>
      </c>
      <c r="I2" s="9" t="s">
        <v>27</v>
      </c>
      <c r="J2" s="9" t="s">
        <v>6</v>
      </c>
      <c r="K2" s="9" t="s">
        <v>28</v>
      </c>
      <c r="L2" s="9" t="s">
        <v>29</v>
      </c>
      <c r="M2" s="9" t="s">
        <v>30</v>
      </c>
      <c r="N2" s="3"/>
      <c r="O2" s="3"/>
      <c r="P2" s="3"/>
    </row>
    <row r="3" ht="30.0" customHeight="1">
      <c r="A3" s="10">
        <v>1.0</v>
      </c>
      <c r="B3" s="10" t="s">
        <v>31</v>
      </c>
      <c r="C3" s="10" t="s">
        <v>32</v>
      </c>
      <c r="D3" s="10" t="s">
        <v>32</v>
      </c>
      <c r="E3" s="11" t="s">
        <v>33</v>
      </c>
      <c r="F3" s="11" t="s">
        <v>34</v>
      </c>
      <c r="G3" s="12">
        <v>16.0</v>
      </c>
      <c r="H3" s="13" t="s">
        <v>35</v>
      </c>
      <c r="I3" s="11" t="s">
        <v>36</v>
      </c>
      <c r="J3" s="14">
        <v>46153.0</v>
      </c>
      <c r="K3" s="14">
        <v>46155.0</v>
      </c>
      <c r="L3" s="12">
        <v>20.0</v>
      </c>
      <c r="M3" s="12">
        <f t="shared" ref="M3:M53" si="1">L3-G3</f>
        <v>4</v>
      </c>
      <c r="N3" s="3"/>
      <c r="O3" s="3"/>
      <c r="P3" s="3"/>
    </row>
    <row r="4" ht="30.0" customHeight="1">
      <c r="A4" s="15">
        <v>1.0</v>
      </c>
      <c r="B4" s="15" t="s">
        <v>37</v>
      </c>
      <c r="C4" s="15" t="s">
        <v>32</v>
      </c>
      <c r="D4" s="15" t="s">
        <v>32</v>
      </c>
      <c r="E4" s="16" t="s">
        <v>38</v>
      </c>
      <c r="F4" s="16" t="s">
        <v>39</v>
      </c>
      <c r="G4" s="17">
        <v>10.0</v>
      </c>
      <c r="H4" s="18" t="s">
        <v>35</v>
      </c>
      <c r="I4" s="16" t="s">
        <v>40</v>
      </c>
      <c r="J4" s="19">
        <v>46155.0</v>
      </c>
      <c r="K4" s="19">
        <v>46157.0</v>
      </c>
      <c r="L4" s="17">
        <v>10.0</v>
      </c>
      <c r="M4" s="17">
        <f t="shared" si="1"/>
        <v>0</v>
      </c>
      <c r="N4" s="3"/>
      <c r="O4" s="3"/>
      <c r="P4" s="3"/>
    </row>
    <row r="5" ht="30.0" customHeight="1">
      <c r="A5" s="10">
        <v>1.0</v>
      </c>
      <c r="B5" s="10" t="s">
        <v>37</v>
      </c>
      <c r="C5" s="10" t="s">
        <v>32</v>
      </c>
      <c r="D5" s="10" t="s">
        <v>32</v>
      </c>
      <c r="E5" s="11" t="s">
        <v>41</v>
      </c>
      <c r="F5" s="11" t="s">
        <v>42</v>
      </c>
      <c r="G5" s="12">
        <v>8.0</v>
      </c>
      <c r="H5" s="13" t="s">
        <v>35</v>
      </c>
      <c r="I5" s="11" t="s">
        <v>43</v>
      </c>
      <c r="J5" s="14">
        <v>46157.0</v>
      </c>
      <c r="K5" s="14">
        <v>46160.0</v>
      </c>
      <c r="L5" s="12">
        <v>8.0</v>
      </c>
      <c r="M5" s="12">
        <f t="shared" si="1"/>
        <v>0</v>
      </c>
      <c r="N5" s="3"/>
      <c r="O5" s="3"/>
      <c r="P5" s="3"/>
    </row>
    <row r="6" ht="30.0" customHeight="1">
      <c r="A6" s="15">
        <v>1.0</v>
      </c>
      <c r="B6" s="15" t="s">
        <v>44</v>
      </c>
      <c r="C6" s="15" t="s">
        <v>32</v>
      </c>
      <c r="D6" s="15" t="s">
        <v>32</v>
      </c>
      <c r="E6" s="16" t="s">
        <v>45</v>
      </c>
      <c r="F6" s="16" t="s">
        <v>46</v>
      </c>
      <c r="G6" s="17">
        <v>18.0</v>
      </c>
      <c r="H6" s="18" t="s">
        <v>35</v>
      </c>
      <c r="I6" s="16" t="s">
        <v>47</v>
      </c>
      <c r="J6" s="19">
        <v>46160.0</v>
      </c>
      <c r="K6" s="19">
        <v>46162.0</v>
      </c>
      <c r="L6" s="17">
        <v>18.0</v>
      </c>
      <c r="M6" s="17">
        <f t="shared" si="1"/>
        <v>0</v>
      </c>
      <c r="N6" s="3"/>
      <c r="O6" s="3"/>
      <c r="P6" s="3"/>
    </row>
    <row r="7" ht="30.0" customHeight="1">
      <c r="A7" s="10">
        <v>1.0</v>
      </c>
      <c r="B7" s="10" t="s">
        <v>48</v>
      </c>
      <c r="C7" s="10" t="s">
        <v>32</v>
      </c>
      <c r="D7" s="10" t="s">
        <v>32</v>
      </c>
      <c r="E7" s="11" t="s">
        <v>49</v>
      </c>
      <c r="F7" s="11" t="s">
        <v>34</v>
      </c>
      <c r="G7" s="12">
        <v>12.0</v>
      </c>
      <c r="H7" s="13" t="s">
        <v>35</v>
      </c>
      <c r="I7" s="11" t="s">
        <v>50</v>
      </c>
      <c r="J7" s="14">
        <v>46162.0</v>
      </c>
      <c r="K7" s="14">
        <v>46164.0</v>
      </c>
      <c r="L7" s="12">
        <v>20.0</v>
      </c>
      <c r="M7" s="12">
        <f t="shared" si="1"/>
        <v>8</v>
      </c>
      <c r="N7" s="3"/>
      <c r="O7" s="3"/>
      <c r="P7" s="3"/>
    </row>
    <row r="8" ht="30.0" customHeight="1">
      <c r="A8" s="15">
        <v>1.0</v>
      </c>
      <c r="B8" s="15" t="s">
        <v>48</v>
      </c>
      <c r="C8" s="15" t="s">
        <v>32</v>
      </c>
      <c r="D8" s="15" t="s">
        <v>32</v>
      </c>
      <c r="E8" s="16" t="s">
        <v>51</v>
      </c>
      <c r="F8" s="16" t="s">
        <v>34</v>
      </c>
      <c r="G8" s="17">
        <v>12.0</v>
      </c>
      <c r="H8" s="18" t="s">
        <v>35</v>
      </c>
      <c r="I8" s="16" t="s">
        <v>52</v>
      </c>
      <c r="J8" s="19">
        <v>46164.0</v>
      </c>
      <c r="K8" s="19">
        <v>46167.0</v>
      </c>
      <c r="L8" s="17">
        <v>20.0</v>
      </c>
      <c r="M8" s="17">
        <f t="shared" si="1"/>
        <v>8</v>
      </c>
      <c r="N8" s="3"/>
      <c r="O8" s="3"/>
      <c r="P8" s="3"/>
    </row>
    <row r="9" ht="30.0" customHeight="1">
      <c r="A9" s="10">
        <v>1.0</v>
      </c>
      <c r="B9" s="10" t="s">
        <v>53</v>
      </c>
      <c r="C9" s="10" t="s">
        <v>54</v>
      </c>
      <c r="D9" s="10" t="s">
        <v>55</v>
      </c>
      <c r="E9" s="11" t="s">
        <v>56</v>
      </c>
      <c r="F9" s="11" t="s">
        <v>57</v>
      </c>
      <c r="G9" s="12">
        <v>2.0</v>
      </c>
      <c r="H9" s="13" t="s">
        <v>35</v>
      </c>
      <c r="I9" s="11" t="s">
        <v>58</v>
      </c>
      <c r="J9" s="14">
        <v>46162.0</v>
      </c>
      <c r="K9" s="14">
        <v>46163.0</v>
      </c>
      <c r="L9" s="12">
        <v>2.0</v>
      </c>
      <c r="M9" s="12">
        <f t="shared" si="1"/>
        <v>0</v>
      </c>
      <c r="N9" s="3"/>
      <c r="O9" s="3"/>
      <c r="P9" s="3"/>
    </row>
    <row r="10" ht="30.0" customHeight="1">
      <c r="A10" s="15">
        <v>1.0</v>
      </c>
      <c r="B10" s="15" t="s">
        <v>53</v>
      </c>
      <c r="C10" s="15" t="s">
        <v>59</v>
      </c>
      <c r="D10" s="15" t="s">
        <v>60</v>
      </c>
      <c r="E10" s="16" t="s">
        <v>56</v>
      </c>
      <c r="F10" s="16" t="s">
        <v>42</v>
      </c>
      <c r="G10" s="17">
        <v>2.0</v>
      </c>
      <c r="H10" s="18" t="s">
        <v>35</v>
      </c>
      <c r="I10" s="16" t="s">
        <v>61</v>
      </c>
      <c r="J10" s="19">
        <v>46163.0</v>
      </c>
      <c r="K10" s="19">
        <v>46164.0</v>
      </c>
      <c r="L10" s="17">
        <v>2.0</v>
      </c>
      <c r="M10" s="17">
        <f t="shared" si="1"/>
        <v>0</v>
      </c>
      <c r="N10" s="3"/>
      <c r="O10" s="3"/>
      <c r="P10" s="3"/>
    </row>
    <row r="11" ht="30.0" customHeight="1">
      <c r="A11" s="10">
        <v>1.0</v>
      </c>
      <c r="B11" s="10" t="s">
        <v>53</v>
      </c>
      <c r="C11" s="10" t="s">
        <v>62</v>
      </c>
      <c r="D11" s="10" t="s">
        <v>63</v>
      </c>
      <c r="E11" s="11" t="s">
        <v>56</v>
      </c>
      <c r="F11" s="11" t="s">
        <v>39</v>
      </c>
      <c r="G11" s="12">
        <v>2.0</v>
      </c>
      <c r="H11" s="13" t="s">
        <v>35</v>
      </c>
      <c r="I11" s="11" t="s">
        <v>64</v>
      </c>
      <c r="J11" s="14">
        <v>46164.0</v>
      </c>
      <c r="K11" s="14">
        <v>46165.0</v>
      </c>
      <c r="L11" s="12">
        <v>2.0</v>
      </c>
      <c r="M11" s="12">
        <f t="shared" si="1"/>
        <v>0</v>
      </c>
      <c r="N11" s="3"/>
      <c r="O11" s="3"/>
      <c r="P11" s="3"/>
    </row>
    <row r="12" ht="30.0" customHeight="1">
      <c r="A12" s="15">
        <v>1.0</v>
      </c>
      <c r="B12" s="15" t="s">
        <v>53</v>
      </c>
      <c r="C12" s="15" t="s">
        <v>65</v>
      </c>
      <c r="D12" s="15" t="s">
        <v>66</v>
      </c>
      <c r="E12" s="16" t="s">
        <v>56</v>
      </c>
      <c r="F12" s="16" t="s">
        <v>57</v>
      </c>
      <c r="G12" s="17">
        <v>2.0</v>
      </c>
      <c r="H12" s="18" t="s">
        <v>35</v>
      </c>
      <c r="I12" s="16" t="s">
        <v>67</v>
      </c>
      <c r="J12" s="19">
        <v>46164.0</v>
      </c>
      <c r="K12" s="19">
        <v>46165.0</v>
      </c>
      <c r="L12" s="17">
        <v>2.0</v>
      </c>
      <c r="M12" s="17">
        <f t="shared" si="1"/>
        <v>0</v>
      </c>
      <c r="N12" s="3"/>
      <c r="O12" s="3"/>
      <c r="P12" s="3"/>
    </row>
    <row r="13" ht="30.0" customHeight="1">
      <c r="A13" s="10">
        <v>1.0</v>
      </c>
      <c r="B13" s="10" t="s">
        <v>53</v>
      </c>
      <c r="C13" s="10" t="s">
        <v>68</v>
      </c>
      <c r="D13" s="10" t="s">
        <v>69</v>
      </c>
      <c r="E13" s="11" t="s">
        <v>56</v>
      </c>
      <c r="F13" s="11" t="s">
        <v>42</v>
      </c>
      <c r="G13" s="12">
        <v>2.0</v>
      </c>
      <c r="H13" s="13" t="s">
        <v>35</v>
      </c>
      <c r="I13" s="11" t="s">
        <v>70</v>
      </c>
      <c r="J13" s="14">
        <v>46165.0</v>
      </c>
      <c r="K13" s="14">
        <v>46166.0</v>
      </c>
      <c r="L13" s="12">
        <v>2.0</v>
      </c>
      <c r="M13" s="12">
        <f t="shared" si="1"/>
        <v>0</v>
      </c>
      <c r="N13" s="3"/>
      <c r="O13" s="3"/>
      <c r="P13" s="3"/>
    </row>
    <row r="14" ht="30.0" customHeight="1">
      <c r="A14" s="15">
        <v>1.0</v>
      </c>
      <c r="B14" s="15" t="s">
        <v>53</v>
      </c>
      <c r="C14" s="15" t="s">
        <v>71</v>
      </c>
      <c r="D14" s="15" t="s">
        <v>72</v>
      </c>
      <c r="E14" s="16" t="s">
        <v>56</v>
      </c>
      <c r="F14" s="16" t="s">
        <v>42</v>
      </c>
      <c r="G14" s="17">
        <v>2.0</v>
      </c>
      <c r="H14" s="18" t="s">
        <v>35</v>
      </c>
      <c r="I14" s="16" t="s">
        <v>73</v>
      </c>
      <c r="J14" s="19">
        <v>46166.0</v>
      </c>
      <c r="K14" s="19">
        <v>46166.0</v>
      </c>
      <c r="L14" s="17">
        <v>2.0</v>
      </c>
      <c r="M14" s="17">
        <f t="shared" si="1"/>
        <v>0</v>
      </c>
      <c r="N14" s="3"/>
      <c r="O14" s="3"/>
      <c r="P14" s="3"/>
    </row>
    <row r="15" ht="30.0" customHeight="1">
      <c r="A15" s="10">
        <v>1.0</v>
      </c>
      <c r="B15" s="10" t="s">
        <v>53</v>
      </c>
      <c r="C15" s="10" t="s">
        <v>74</v>
      </c>
      <c r="D15" s="10" t="s">
        <v>75</v>
      </c>
      <c r="E15" s="11" t="s">
        <v>56</v>
      </c>
      <c r="F15" s="11" t="s">
        <v>76</v>
      </c>
      <c r="G15" s="12">
        <v>2.0</v>
      </c>
      <c r="H15" s="13" t="s">
        <v>35</v>
      </c>
      <c r="I15" s="11" t="s">
        <v>77</v>
      </c>
      <c r="J15" s="14">
        <v>46167.0</v>
      </c>
      <c r="K15" s="14">
        <v>46167.0</v>
      </c>
      <c r="L15" s="12">
        <v>2.0</v>
      </c>
      <c r="M15" s="12">
        <f t="shared" si="1"/>
        <v>0</v>
      </c>
      <c r="N15" s="3"/>
      <c r="O15" s="3"/>
      <c r="P15" s="3"/>
    </row>
    <row r="16" ht="30.0" customHeight="1">
      <c r="A16" s="15">
        <v>1.0</v>
      </c>
      <c r="B16" s="15" t="s">
        <v>53</v>
      </c>
      <c r="C16" s="15" t="s">
        <v>78</v>
      </c>
      <c r="D16" s="15" t="s">
        <v>79</v>
      </c>
      <c r="E16" s="16" t="s">
        <v>56</v>
      </c>
      <c r="F16" s="16" t="s">
        <v>80</v>
      </c>
      <c r="G16" s="17">
        <v>2.0</v>
      </c>
      <c r="H16" s="18" t="s">
        <v>35</v>
      </c>
      <c r="I16" s="16" t="s">
        <v>81</v>
      </c>
      <c r="J16" s="19">
        <v>46167.0</v>
      </c>
      <c r="K16" s="19">
        <v>46168.0</v>
      </c>
      <c r="L16" s="17">
        <v>2.0</v>
      </c>
      <c r="M16" s="17">
        <f t="shared" si="1"/>
        <v>0</v>
      </c>
      <c r="N16" s="3"/>
      <c r="O16" s="3"/>
      <c r="P16" s="3"/>
    </row>
    <row r="17" ht="30.0" customHeight="1">
      <c r="A17" s="10">
        <v>1.0</v>
      </c>
      <c r="B17" s="10" t="s">
        <v>53</v>
      </c>
      <c r="C17" s="10" t="s">
        <v>82</v>
      </c>
      <c r="D17" s="10" t="s">
        <v>83</v>
      </c>
      <c r="E17" s="11" t="s">
        <v>56</v>
      </c>
      <c r="F17" s="11" t="s">
        <v>57</v>
      </c>
      <c r="G17" s="12">
        <v>2.0</v>
      </c>
      <c r="H17" s="13" t="s">
        <v>35</v>
      </c>
      <c r="I17" s="11" t="s">
        <v>84</v>
      </c>
      <c r="J17" s="14">
        <v>46168.0</v>
      </c>
      <c r="K17" s="14">
        <v>46169.0</v>
      </c>
      <c r="L17" s="12">
        <v>2.0</v>
      </c>
      <c r="M17" s="12">
        <f t="shared" si="1"/>
        <v>0</v>
      </c>
      <c r="N17" s="3"/>
      <c r="O17" s="3"/>
      <c r="P17" s="3"/>
    </row>
    <row r="18" ht="30.0" customHeight="1">
      <c r="A18" s="15">
        <v>1.0</v>
      </c>
      <c r="B18" s="15" t="s">
        <v>53</v>
      </c>
      <c r="C18" s="15" t="s">
        <v>85</v>
      </c>
      <c r="D18" s="15" t="s">
        <v>86</v>
      </c>
      <c r="E18" s="16" t="s">
        <v>56</v>
      </c>
      <c r="F18" s="16" t="s">
        <v>46</v>
      </c>
      <c r="G18" s="17">
        <v>2.0</v>
      </c>
      <c r="H18" s="18" t="s">
        <v>35</v>
      </c>
      <c r="I18" s="16" t="s">
        <v>87</v>
      </c>
      <c r="J18" s="19">
        <v>46169.0</v>
      </c>
      <c r="K18" s="19">
        <v>46170.0</v>
      </c>
      <c r="L18" s="17">
        <v>2.0</v>
      </c>
      <c r="M18" s="17">
        <f t="shared" si="1"/>
        <v>0</v>
      </c>
      <c r="N18" s="3"/>
      <c r="O18" s="20"/>
      <c r="P18" s="21"/>
    </row>
    <row r="19" ht="30.0" customHeight="1">
      <c r="A19" s="10">
        <v>1.0</v>
      </c>
      <c r="B19" s="10" t="s">
        <v>53</v>
      </c>
      <c r="C19" s="10" t="s">
        <v>88</v>
      </c>
      <c r="D19" s="10" t="s">
        <v>89</v>
      </c>
      <c r="E19" s="11" t="s">
        <v>56</v>
      </c>
      <c r="F19" s="11" t="s">
        <v>90</v>
      </c>
      <c r="G19" s="12">
        <v>2.0</v>
      </c>
      <c r="H19" s="13" t="s">
        <v>35</v>
      </c>
      <c r="I19" s="11" t="s">
        <v>91</v>
      </c>
      <c r="J19" s="14">
        <v>46170.0</v>
      </c>
      <c r="K19" s="14">
        <v>46171.0</v>
      </c>
      <c r="L19" s="12">
        <v>2.0</v>
      </c>
      <c r="M19" s="12">
        <f t="shared" si="1"/>
        <v>0</v>
      </c>
      <c r="N19" s="3"/>
      <c r="O19" s="20"/>
      <c r="P19" s="21"/>
    </row>
    <row r="20" ht="30.0" customHeight="1">
      <c r="A20" s="15">
        <v>1.0</v>
      </c>
      <c r="B20" s="15" t="s">
        <v>53</v>
      </c>
      <c r="C20" s="15" t="s">
        <v>92</v>
      </c>
      <c r="D20" s="15" t="s">
        <v>93</v>
      </c>
      <c r="E20" s="16" t="s">
        <v>56</v>
      </c>
      <c r="F20" s="16" t="s">
        <v>46</v>
      </c>
      <c r="G20" s="17">
        <v>2.0</v>
      </c>
      <c r="H20" s="18" t="s">
        <v>35</v>
      </c>
      <c r="I20" s="16" t="s">
        <v>94</v>
      </c>
      <c r="J20" s="19">
        <v>46171.0</v>
      </c>
      <c r="K20" s="19">
        <v>46172.0</v>
      </c>
      <c r="L20" s="17">
        <v>2.0</v>
      </c>
      <c r="M20" s="17">
        <f t="shared" si="1"/>
        <v>0</v>
      </c>
      <c r="N20" s="3"/>
      <c r="O20" s="3"/>
      <c r="P20" s="21"/>
    </row>
    <row r="21" ht="30.0" customHeight="1">
      <c r="A21" s="10">
        <v>1.0</v>
      </c>
      <c r="B21" s="10" t="s">
        <v>53</v>
      </c>
      <c r="C21" s="10" t="s">
        <v>95</v>
      </c>
      <c r="D21" s="10" t="s">
        <v>93</v>
      </c>
      <c r="E21" s="11" t="s">
        <v>56</v>
      </c>
      <c r="F21" s="11" t="s">
        <v>76</v>
      </c>
      <c r="G21" s="12">
        <v>2.0</v>
      </c>
      <c r="H21" s="13" t="s">
        <v>35</v>
      </c>
      <c r="I21" s="11" t="s">
        <v>96</v>
      </c>
      <c r="J21" s="14">
        <v>46172.0</v>
      </c>
      <c r="K21" s="14">
        <v>46173.0</v>
      </c>
      <c r="L21" s="12">
        <v>2.0</v>
      </c>
      <c r="M21" s="12">
        <f t="shared" si="1"/>
        <v>0</v>
      </c>
      <c r="N21" s="3"/>
      <c r="O21" s="20"/>
      <c r="P21" s="21"/>
    </row>
    <row r="22" ht="30.0" customHeight="1">
      <c r="A22" s="15">
        <v>1.0</v>
      </c>
      <c r="B22" s="15" t="s">
        <v>53</v>
      </c>
      <c r="C22" s="15" t="s">
        <v>97</v>
      </c>
      <c r="D22" s="15" t="s">
        <v>98</v>
      </c>
      <c r="E22" s="16" t="s">
        <v>56</v>
      </c>
      <c r="F22" s="16" t="s">
        <v>80</v>
      </c>
      <c r="G22" s="17">
        <v>2.0</v>
      </c>
      <c r="H22" s="18" t="s">
        <v>35</v>
      </c>
      <c r="I22" s="16" t="s">
        <v>99</v>
      </c>
      <c r="J22" s="19">
        <v>46173.0</v>
      </c>
      <c r="K22" s="19">
        <v>46174.0</v>
      </c>
      <c r="L22" s="17">
        <v>2.0</v>
      </c>
      <c r="M22" s="17">
        <f t="shared" si="1"/>
        <v>0</v>
      </c>
      <c r="N22" s="3"/>
      <c r="O22" s="20"/>
      <c r="P22" s="21"/>
    </row>
    <row r="23" ht="30.0" customHeight="1">
      <c r="A23" s="10">
        <v>1.0</v>
      </c>
      <c r="B23" s="10" t="s">
        <v>53</v>
      </c>
      <c r="C23" s="10" t="s">
        <v>100</v>
      </c>
      <c r="D23" s="10" t="s">
        <v>101</v>
      </c>
      <c r="E23" s="11" t="s">
        <v>56</v>
      </c>
      <c r="F23" s="11" t="s">
        <v>102</v>
      </c>
      <c r="G23" s="12">
        <v>2.0</v>
      </c>
      <c r="H23" s="13" t="s">
        <v>35</v>
      </c>
      <c r="I23" s="11" t="s">
        <v>103</v>
      </c>
      <c r="J23" s="14">
        <v>46174.0</v>
      </c>
      <c r="K23" s="14">
        <v>46176.0</v>
      </c>
      <c r="L23" s="12">
        <v>2.0</v>
      </c>
      <c r="M23" s="12">
        <f t="shared" si="1"/>
        <v>0</v>
      </c>
      <c r="N23" s="3"/>
      <c r="O23" s="20"/>
      <c r="P23" s="21"/>
    </row>
    <row r="24" ht="30.0" customHeight="1">
      <c r="A24" s="15">
        <v>1.0</v>
      </c>
      <c r="B24" s="15" t="s">
        <v>53</v>
      </c>
      <c r="C24" s="15" t="s">
        <v>104</v>
      </c>
      <c r="D24" s="15" t="s">
        <v>101</v>
      </c>
      <c r="E24" s="16" t="s">
        <v>56</v>
      </c>
      <c r="F24" s="16" t="s">
        <v>90</v>
      </c>
      <c r="G24" s="17">
        <v>2.0</v>
      </c>
      <c r="H24" s="18" t="s">
        <v>35</v>
      </c>
      <c r="I24" s="16" t="s">
        <v>105</v>
      </c>
      <c r="J24" s="19">
        <v>46176.0</v>
      </c>
      <c r="K24" s="19">
        <v>46177.0</v>
      </c>
      <c r="L24" s="17">
        <v>2.0</v>
      </c>
      <c r="M24" s="17">
        <f t="shared" si="1"/>
        <v>0</v>
      </c>
      <c r="N24" s="3"/>
      <c r="O24" s="20"/>
      <c r="P24" s="21"/>
    </row>
    <row r="25" ht="30.0" customHeight="1">
      <c r="A25" s="10">
        <v>1.0</v>
      </c>
      <c r="B25" s="10" t="s">
        <v>53</v>
      </c>
      <c r="C25" s="10" t="s">
        <v>106</v>
      </c>
      <c r="D25" s="10" t="s">
        <v>101</v>
      </c>
      <c r="E25" s="11" t="s">
        <v>56</v>
      </c>
      <c r="F25" s="11" t="s">
        <v>80</v>
      </c>
      <c r="G25" s="12">
        <v>2.0</v>
      </c>
      <c r="H25" s="13" t="s">
        <v>35</v>
      </c>
      <c r="I25" s="11" t="s">
        <v>107</v>
      </c>
      <c r="J25" s="14">
        <v>46177.0</v>
      </c>
      <c r="K25" s="14">
        <v>46178.0</v>
      </c>
      <c r="L25" s="12">
        <v>2.0</v>
      </c>
      <c r="M25" s="12">
        <f t="shared" si="1"/>
        <v>0</v>
      </c>
      <c r="N25" s="3"/>
      <c r="O25" s="20"/>
      <c r="P25" s="21"/>
    </row>
    <row r="26" ht="30.0" customHeight="1">
      <c r="A26" s="15">
        <v>1.0</v>
      </c>
      <c r="B26" s="15" t="s">
        <v>53</v>
      </c>
      <c r="C26" s="15" t="s">
        <v>108</v>
      </c>
      <c r="D26" s="15" t="s">
        <v>109</v>
      </c>
      <c r="E26" s="16" t="s">
        <v>56</v>
      </c>
      <c r="F26" s="16" t="s">
        <v>80</v>
      </c>
      <c r="G26" s="17">
        <v>2.0</v>
      </c>
      <c r="H26" s="18" t="s">
        <v>35</v>
      </c>
      <c r="I26" s="16" t="s">
        <v>110</v>
      </c>
      <c r="J26" s="19">
        <v>46178.0</v>
      </c>
      <c r="K26" s="19">
        <v>46179.0</v>
      </c>
      <c r="L26" s="17">
        <v>2.0</v>
      </c>
      <c r="M26" s="17">
        <f t="shared" si="1"/>
        <v>0</v>
      </c>
      <c r="N26" s="3"/>
      <c r="O26" s="20"/>
      <c r="P26" s="21"/>
    </row>
    <row r="27" ht="30.0" customHeight="1">
      <c r="A27" s="10">
        <v>1.0</v>
      </c>
      <c r="B27" s="10" t="s">
        <v>53</v>
      </c>
      <c r="C27" s="10" t="s">
        <v>111</v>
      </c>
      <c r="D27" s="10" t="s">
        <v>112</v>
      </c>
      <c r="E27" s="11" t="s">
        <v>56</v>
      </c>
      <c r="F27" s="11" t="s">
        <v>76</v>
      </c>
      <c r="G27" s="12">
        <v>2.0</v>
      </c>
      <c r="H27" s="13" t="s">
        <v>35</v>
      </c>
      <c r="I27" s="11" t="s">
        <v>113</v>
      </c>
      <c r="J27" s="14">
        <v>46179.0</v>
      </c>
      <c r="K27" s="14">
        <v>46180.0</v>
      </c>
      <c r="L27" s="12">
        <v>2.0</v>
      </c>
      <c r="M27" s="12">
        <f t="shared" si="1"/>
        <v>0</v>
      </c>
      <c r="N27" s="3"/>
      <c r="O27" s="20"/>
      <c r="P27" s="21"/>
    </row>
    <row r="28" ht="30.0" customHeight="1">
      <c r="A28" s="15">
        <v>1.0</v>
      </c>
      <c r="B28" s="15" t="s">
        <v>53</v>
      </c>
      <c r="C28" s="15" t="s">
        <v>114</v>
      </c>
      <c r="D28" s="15" t="s">
        <v>115</v>
      </c>
      <c r="E28" s="16" t="s">
        <v>56</v>
      </c>
      <c r="F28" s="16" t="s">
        <v>39</v>
      </c>
      <c r="G28" s="17">
        <v>2.0</v>
      </c>
      <c r="H28" s="18" t="s">
        <v>35</v>
      </c>
      <c r="I28" s="16" t="s">
        <v>116</v>
      </c>
      <c r="J28" s="19">
        <v>46180.0</v>
      </c>
      <c r="K28" s="19">
        <v>46181.0</v>
      </c>
      <c r="L28" s="17">
        <v>2.0</v>
      </c>
      <c r="M28" s="17">
        <f t="shared" si="1"/>
        <v>0</v>
      </c>
      <c r="N28" s="3"/>
      <c r="O28" s="20"/>
      <c r="P28" s="21"/>
    </row>
    <row r="29" ht="30.0" customHeight="1">
      <c r="A29" s="10">
        <v>1.0</v>
      </c>
      <c r="B29" s="10" t="s">
        <v>53</v>
      </c>
      <c r="C29" s="10" t="s">
        <v>117</v>
      </c>
      <c r="D29" s="10" t="s">
        <v>118</v>
      </c>
      <c r="E29" s="11" t="s">
        <v>56</v>
      </c>
      <c r="F29" s="11" t="s">
        <v>42</v>
      </c>
      <c r="G29" s="12">
        <v>2.0</v>
      </c>
      <c r="H29" s="13" t="s">
        <v>35</v>
      </c>
      <c r="I29" s="11" t="s">
        <v>119</v>
      </c>
      <c r="J29" s="14">
        <v>46181.0</v>
      </c>
      <c r="K29" s="14">
        <v>46182.0</v>
      </c>
      <c r="L29" s="12">
        <v>2.0</v>
      </c>
      <c r="M29" s="12">
        <f t="shared" si="1"/>
        <v>0</v>
      </c>
      <c r="N29" s="3"/>
      <c r="O29" s="20"/>
      <c r="P29" s="21"/>
    </row>
    <row r="30" ht="30.0" customHeight="1">
      <c r="A30" s="15">
        <v>1.0</v>
      </c>
      <c r="B30" s="15" t="s">
        <v>53</v>
      </c>
      <c r="C30" s="15" t="s">
        <v>120</v>
      </c>
      <c r="D30" s="15" t="s">
        <v>121</v>
      </c>
      <c r="E30" s="16" t="s">
        <v>56</v>
      </c>
      <c r="F30" s="16" t="s">
        <v>46</v>
      </c>
      <c r="G30" s="17">
        <v>2.0</v>
      </c>
      <c r="H30" s="18" t="s">
        <v>35</v>
      </c>
      <c r="I30" s="16" t="s">
        <v>122</v>
      </c>
      <c r="J30" s="19">
        <v>46182.0</v>
      </c>
      <c r="K30" s="19">
        <v>46183.0</v>
      </c>
      <c r="L30" s="17">
        <v>2.0</v>
      </c>
      <c r="M30" s="17">
        <f t="shared" si="1"/>
        <v>0</v>
      </c>
      <c r="N30" s="3"/>
      <c r="O30" s="20"/>
      <c r="P30" s="21"/>
    </row>
    <row r="31" ht="30.0" customHeight="1">
      <c r="A31" s="10">
        <v>1.0</v>
      </c>
      <c r="B31" s="10" t="s">
        <v>123</v>
      </c>
      <c r="C31" s="10" t="s">
        <v>32</v>
      </c>
      <c r="D31" s="10" t="s">
        <v>32</v>
      </c>
      <c r="E31" s="11" t="s">
        <v>124</v>
      </c>
      <c r="F31" s="11" t="s">
        <v>39</v>
      </c>
      <c r="G31" s="12">
        <v>6.0</v>
      </c>
      <c r="H31" s="13" t="s">
        <v>35</v>
      </c>
      <c r="I31" s="11" t="s">
        <v>125</v>
      </c>
      <c r="J31" s="14">
        <v>46184.0</v>
      </c>
      <c r="K31" s="14">
        <v>46184.0</v>
      </c>
      <c r="L31" s="12">
        <v>6.0</v>
      </c>
      <c r="M31" s="12">
        <f t="shared" si="1"/>
        <v>0</v>
      </c>
      <c r="N31" s="3"/>
      <c r="O31" s="20"/>
      <c r="P31" s="21"/>
    </row>
    <row r="32" ht="30.0" customHeight="1">
      <c r="A32" s="15">
        <v>1.0</v>
      </c>
      <c r="B32" s="15" t="s">
        <v>126</v>
      </c>
      <c r="C32" s="15" t="s">
        <v>54</v>
      </c>
      <c r="D32" s="15" t="s">
        <v>55</v>
      </c>
      <c r="E32" s="16" t="s">
        <v>127</v>
      </c>
      <c r="F32" s="16" t="s">
        <v>57</v>
      </c>
      <c r="G32" s="17">
        <v>8.0</v>
      </c>
      <c r="H32" s="18" t="s">
        <v>35</v>
      </c>
      <c r="I32" s="16" t="s">
        <v>128</v>
      </c>
      <c r="J32" s="19">
        <v>46184.0</v>
      </c>
      <c r="K32" s="19">
        <v>46185.0</v>
      </c>
      <c r="L32" s="17">
        <v>8.0</v>
      </c>
      <c r="M32" s="17">
        <f t="shared" si="1"/>
        <v>0</v>
      </c>
      <c r="N32" s="3"/>
      <c r="O32" s="20"/>
      <c r="P32" s="21"/>
    </row>
    <row r="33" ht="30.0" customHeight="1">
      <c r="A33" s="10">
        <v>1.0</v>
      </c>
      <c r="B33" s="10" t="s">
        <v>126</v>
      </c>
      <c r="C33" s="10" t="s">
        <v>59</v>
      </c>
      <c r="D33" s="10" t="s">
        <v>60</v>
      </c>
      <c r="E33" s="11" t="s">
        <v>129</v>
      </c>
      <c r="F33" s="11" t="s">
        <v>42</v>
      </c>
      <c r="G33" s="12">
        <v>7.0</v>
      </c>
      <c r="H33" s="13" t="s">
        <v>35</v>
      </c>
      <c r="I33" s="11" t="s">
        <v>130</v>
      </c>
      <c r="J33" s="14">
        <v>46184.0</v>
      </c>
      <c r="K33" s="14">
        <v>46185.0</v>
      </c>
      <c r="L33" s="12">
        <v>7.0</v>
      </c>
      <c r="M33" s="12">
        <f t="shared" si="1"/>
        <v>0</v>
      </c>
      <c r="N33" s="3"/>
      <c r="O33" s="20"/>
      <c r="P33" s="21"/>
    </row>
    <row r="34" ht="30.0" customHeight="1">
      <c r="A34" s="15">
        <v>1.0</v>
      </c>
      <c r="B34" s="15" t="s">
        <v>126</v>
      </c>
      <c r="C34" s="15" t="s">
        <v>62</v>
      </c>
      <c r="D34" s="15" t="s">
        <v>63</v>
      </c>
      <c r="E34" s="16" t="s">
        <v>131</v>
      </c>
      <c r="F34" s="16" t="s">
        <v>39</v>
      </c>
      <c r="G34" s="17">
        <v>5.0</v>
      </c>
      <c r="H34" s="18" t="s">
        <v>35</v>
      </c>
      <c r="I34" s="16" t="s">
        <v>132</v>
      </c>
      <c r="J34" s="19">
        <v>46184.0</v>
      </c>
      <c r="K34" s="19">
        <v>46184.0</v>
      </c>
      <c r="L34" s="17">
        <v>5.0</v>
      </c>
      <c r="M34" s="17">
        <f t="shared" si="1"/>
        <v>0</v>
      </c>
      <c r="N34" s="3"/>
      <c r="O34" s="20"/>
      <c r="P34" s="21"/>
    </row>
    <row r="35" ht="30.0" customHeight="1">
      <c r="A35" s="10">
        <v>1.0</v>
      </c>
      <c r="B35" s="10" t="s">
        <v>126</v>
      </c>
      <c r="C35" s="10" t="s">
        <v>65</v>
      </c>
      <c r="D35" s="10" t="s">
        <v>66</v>
      </c>
      <c r="E35" s="11" t="s">
        <v>133</v>
      </c>
      <c r="F35" s="11" t="s">
        <v>57</v>
      </c>
      <c r="G35" s="12">
        <v>5.0</v>
      </c>
      <c r="H35" s="13" t="s">
        <v>35</v>
      </c>
      <c r="I35" s="11" t="s">
        <v>134</v>
      </c>
      <c r="J35" s="14">
        <v>46185.0</v>
      </c>
      <c r="K35" s="14">
        <v>46185.0</v>
      </c>
      <c r="L35" s="12">
        <v>5.0</v>
      </c>
      <c r="M35" s="12">
        <f t="shared" si="1"/>
        <v>0</v>
      </c>
      <c r="N35" s="3"/>
      <c r="O35" s="20"/>
      <c r="P35" s="22"/>
    </row>
    <row r="36" ht="30.0" customHeight="1">
      <c r="A36" s="15">
        <v>1.0</v>
      </c>
      <c r="B36" s="15" t="s">
        <v>126</v>
      </c>
      <c r="C36" s="15" t="s">
        <v>68</v>
      </c>
      <c r="D36" s="15" t="s">
        <v>69</v>
      </c>
      <c r="E36" s="16" t="s">
        <v>135</v>
      </c>
      <c r="F36" s="16" t="s">
        <v>42</v>
      </c>
      <c r="G36" s="17">
        <v>8.0</v>
      </c>
      <c r="H36" s="18" t="s">
        <v>35</v>
      </c>
      <c r="I36" s="16" t="s">
        <v>136</v>
      </c>
      <c r="J36" s="19">
        <v>46185.0</v>
      </c>
      <c r="K36" s="19">
        <v>46186.0</v>
      </c>
      <c r="L36" s="17">
        <v>8.0</v>
      </c>
      <c r="M36" s="17">
        <f t="shared" si="1"/>
        <v>0</v>
      </c>
      <c r="N36" s="3"/>
      <c r="O36" s="20"/>
      <c r="P36" s="22"/>
    </row>
    <row r="37" ht="30.0" customHeight="1">
      <c r="A37" s="10">
        <v>1.0</v>
      </c>
      <c r="B37" s="10" t="s">
        <v>126</v>
      </c>
      <c r="C37" s="10" t="s">
        <v>71</v>
      </c>
      <c r="D37" s="10" t="s">
        <v>72</v>
      </c>
      <c r="E37" s="11" t="s">
        <v>137</v>
      </c>
      <c r="F37" s="11" t="s">
        <v>42</v>
      </c>
      <c r="G37" s="12">
        <v>6.0</v>
      </c>
      <c r="H37" s="13" t="s">
        <v>35</v>
      </c>
      <c r="I37" s="11" t="s">
        <v>138</v>
      </c>
      <c r="J37" s="14">
        <v>46186.0</v>
      </c>
      <c r="K37" s="14">
        <v>46186.0</v>
      </c>
      <c r="L37" s="12">
        <v>6.0</v>
      </c>
      <c r="M37" s="12">
        <f t="shared" si="1"/>
        <v>0</v>
      </c>
      <c r="N37" s="3"/>
      <c r="O37" s="20"/>
      <c r="P37" s="22"/>
    </row>
    <row r="38" ht="30.0" customHeight="1">
      <c r="A38" s="15">
        <v>1.0</v>
      </c>
      <c r="B38" s="15" t="s">
        <v>126</v>
      </c>
      <c r="C38" s="15" t="s">
        <v>74</v>
      </c>
      <c r="D38" s="15" t="s">
        <v>75</v>
      </c>
      <c r="E38" s="16" t="s">
        <v>139</v>
      </c>
      <c r="F38" s="16" t="s">
        <v>76</v>
      </c>
      <c r="G38" s="17">
        <v>5.0</v>
      </c>
      <c r="H38" s="18" t="s">
        <v>35</v>
      </c>
      <c r="I38" s="16" t="s">
        <v>140</v>
      </c>
      <c r="J38" s="19">
        <v>46184.0</v>
      </c>
      <c r="K38" s="19">
        <v>46185.0</v>
      </c>
      <c r="L38" s="17">
        <v>5.0</v>
      </c>
      <c r="M38" s="17">
        <f t="shared" si="1"/>
        <v>0</v>
      </c>
      <c r="N38" s="3"/>
      <c r="O38" s="20"/>
      <c r="P38" s="22"/>
    </row>
    <row r="39" ht="30.0" customHeight="1">
      <c r="A39" s="10">
        <v>1.0</v>
      </c>
      <c r="B39" s="10" t="s">
        <v>126</v>
      </c>
      <c r="C39" s="10" t="s">
        <v>78</v>
      </c>
      <c r="D39" s="10" t="s">
        <v>79</v>
      </c>
      <c r="E39" s="11" t="s">
        <v>141</v>
      </c>
      <c r="F39" s="11" t="s">
        <v>80</v>
      </c>
      <c r="G39" s="12">
        <v>5.0</v>
      </c>
      <c r="H39" s="13" t="s">
        <v>35</v>
      </c>
      <c r="I39" s="11" t="s">
        <v>142</v>
      </c>
      <c r="J39" s="14">
        <v>46184.0</v>
      </c>
      <c r="K39" s="14">
        <v>46185.0</v>
      </c>
      <c r="L39" s="12">
        <v>5.0</v>
      </c>
      <c r="M39" s="12">
        <f t="shared" si="1"/>
        <v>0</v>
      </c>
      <c r="N39" s="3"/>
      <c r="O39" s="20"/>
      <c r="P39" s="22"/>
    </row>
    <row r="40" ht="30.0" customHeight="1">
      <c r="A40" s="15">
        <v>1.0</v>
      </c>
      <c r="B40" s="15" t="s">
        <v>126</v>
      </c>
      <c r="C40" s="15" t="s">
        <v>82</v>
      </c>
      <c r="D40" s="15" t="s">
        <v>83</v>
      </c>
      <c r="E40" s="16" t="s">
        <v>143</v>
      </c>
      <c r="F40" s="16" t="s">
        <v>57</v>
      </c>
      <c r="G40" s="17">
        <v>7.0</v>
      </c>
      <c r="H40" s="18" t="s">
        <v>35</v>
      </c>
      <c r="I40" s="16" t="s">
        <v>144</v>
      </c>
      <c r="J40" s="19">
        <v>46186.0</v>
      </c>
      <c r="K40" s="19">
        <v>46186.0</v>
      </c>
      <c r="L40" s="17">
        <v>7.0</v>
      </c>
      <c r="M40" s="17">
        <f t="shared" si="1"/>
        <v>0</v>
      </c>
      <c r="N40" s="3"/>
      <c r="O40" s="20"/>
      <c r="P40" s="22"/>
    </row>
    <row r="41" ht="30.0" customHeight="1">
      <c r="A41" s="10">
        <v>1.0</v>
      </c>
      <c r="B41" s="10" t="s">
        <v>126</v>
      </c>
      <c r="C41" s="10" t="s">
        <v>85</v>
      </c>
      <c r="D41" s="10" t="s">
        <v>86</v>
      </c>
      <c r="E41" s="11" t="s">
        <v>145</v>
      </c>
      <c r="F41" s="11" t="s">
        <v>46</v>
      </c>
      <c r="G41" s="12">
        <v>8.0</v>
      </c>
      <c r="H41" s="13" t="s">
        <v>35</v>
      </c>
      <c r="I41" s="11" t="s">
        <v>146</v>
      </c>
      <c r="J41" s="14">
        <v>46184.0</v>
      </c>
      <c r="K41" s="14">
        <v>46185.0</v>
      </c>
      <c r="L41" s="12">
        <v>8.0</v>
      </c>
      <c r="M41" s="12">
        <f t="shared" si="1"/>
        <v>0</v>
      </c>
      <c r="N41" s="3"/>
      <c r="O41" s="3"/>
      <c r="P41" s="3"/>
    </row>
    <row r="42" ht="30.0" customHeight="1">
      <c r="A42" s="15">
        <v>1.0</v>
      </c>
      <c r="B42" s="15" t="s">
        <v>126</v>
      </c>
      <c r="C42" s="15" t="s">
        <v>88</v>
      </c>
      <c r="D42" s="15" t="s">
        <v>89</v>
      </c>
      <c r="E42" s="16" t="s">
        <v>147</v>
      </c>
      <c r="F42" s="16" t="s">
        <v>90</v>
      </c>
      <c r="G42" s="17">
        <v>7.0</v>
      </c>
      <c r="H42" s="18" t="s">
        <v>35</v>
      </c>
      <c r="I42" s="16" t="s">
        <v>148</v>
      </c>
      <c r="J42" s="19">
        <v>46185.0</v>
      </c>
      <c r="K42" s="19">
        <v>46186.0</v>
      </c>
      <c r="L42" s="17">
        <v>7.0</v>
      </c>
      <c r="M42" s="17">
        <f t="shared" si="1"/>
        <v>0</v>
      </c>
      <c r="N42" s="3"/>
      <c r="O42" s="3"/>
      <c r="P42" s="3"/>
    </row>
    <row r="43" ht="30.0" customHeight="1">
      <c r="A43" s="10">
        <v>1.0</v>
      </c>
      <c r="B43" s="10" t="s">
        <v>126</v>
      </c>
      <c r="C43" s="10" t="s">
        <v>92</v>
      </c>
      <c r="D43" s="10" t="s">
        <v>93</v>
      </c>
      <c r="E43" s="11" t="s">
        <v>149</v>
      </c>
      <c r="F43" s="11" t="s">
        <v>76</v>
      </c>
      <c r="G43" s="12">
        <v>6.0</v>
      </c>
      <c r="H43" s="13" t="s">
        <v>35</v>
      </c>
      <c r="I43" s="11" t="s">
        <v>150</v>
      </c>
      <c r="J43" s="14">
        <v>46185.0</v>
      </c>
      <c r="K43" s="14">
        <v>46186.0</v>
      </c>
      <c r="L43" s="12">
        <v>6.0</v>
      </c>
      <c r="M43" s="12">
        <f t="shared" si="1"/>
        <v>0</v>
      </c>
      <c r="N43" s="3"/>
      <c r="O43" s="3"/>
      <c r="P43" s="3"/>
    </row>
    <row r="44" ht="30.0" customHeight="1">
      <c r="A44" s="15">
        <v>1.0</v>
      </c>
      <c r="B44" s="15" t="s">
        <v>126</v>
      </c>
      <c r="C44" s="15" t="s">
        <v>95</v>
      </c>
      <c r="D44" s="15" t="s">
        <v>93</v>
      </c>
      <c r="E44" s="16" t="s">
        <v>151</v>
      </c>
      <c r="F44" s="16" t="s">
        <v>76</v>
      </c>
      <c r="G44" s="17">
        <v>5.0</v>
      </c>
      <c r="H44" s="18" t="s">
        <v>35</v>
      </c>
      <c r="I44" s="16" t="s">
        <v>152</v>
      </c>
      <c r="J44" s="19">
        <v>46186.0</v>
      </c>
      <c r="K44" s="19">
        <v>46186.0</v>
      </c>
      <c r="L44" s="17">
        <v>5.0</v>
      </c>
      <c r="M44" s="17">
        <f t="shared" si="1"/>
        <v>0</v>
      </c>
      <c r="N44" s="3"/>
      <c r="O44" s="3"/>
      <c r="P44" s="3"/>
    </row>
    <row r="45" ht="30.0" customHeight="1">
      <c r="A45" s="10">
        <v>1.0</v>
      </c>
      <c r="B45" s="10" t="s">
        <v>126</v>
      </c>
      <c r="C45" s="10" t="s">
        <v>97</v>
      </c>
      <c r="D45" s="10" t="s">
        <v>98</v>
      </c>
      <c r="E45" s="11" t="s">
        <v>153</v>
      </c>
      <c r="F45" s="11" t="s">
        <v>80</v>
      </c>
      <c r="G45" s="12">
        <v>6.0</v>
      </c>
      <c r="H45" s="13" t="s">
        <v>35</v>
      </c>
      <c r="I45" s="11" t="s">
        <v>154</v>
      </c>
      <c r="J45" s="14">
        <v>46185.0</v>
      </c>
      <c r="K45" s="14">
        <v>46186.0</v>
      </c>
      <c r="L45" s="12">
        <v>6.0</v>
      </c>
      <c r="M45" s="12">
        <f t="shared" si="1"/>
        <v>0</v>
      </c>
      <c r="N45" s="3"/>
      <c r="O45" s="3"/>
      <c r="P45" s="3"/>
    </row>
    <row r="46" ht="30.0" customHeight="1">
      <c r="A46" s="15">
        <v>1.0</v>
      </c>
      <c r="B46" s="15" t="s">
        <v>126</v>
      </c>
      <c r="C46" s="15" t="s">
        <v>100</v>
      </c>
      <c r="D46" s="15" t="s">
        <v>101</v>
      </c>
      <c r="E46" s="16" t="s">
        <v>155</v>
      </c>
      <c r="F46" s="16" t="s">
        <v>90</v>
      </c>
      <c r="G46" s="17">
        <v>10.0</v>
      </c>
      <c r="H46" s="18" t="s">
        <v>35</v>
      </c>
      <c r="I46" s="16" t="s">
        <v>156</v>
      </c>
      <c r="J46" s="19">
        <v>46184.0</v>
      </c>
      <c r="K46" s="19">
        <v>46186.0</v>
      </c>
      <c r="L46" s="17">
        <v>10.0</v>
      </c>
      <c r="M46" s="17">
        <f t="shared" si="1"/>
        <v>0</v>
      </c>
      <c r="N46" s="3"/>
      <c r="O46" s="3"/>
      <c r="P46" s="3"/>
    </row>
    <row r="47" ht="30.0" customHeight="1">
      <c r="A47" s="10">
        <v>1.0</v>
      </c>
      <c r="B47" s="10" t="s">
        <v>126</v>
      </c>
      <c r="C47" s="10" t="s">
        <v>104</v>
      </c>
      <c r="D47" s="10" t="s">
        <v>101</v>
      </c>
      <c r="E47" s="11" t="s">
        <v>157</v>
      </c>
      <c r="F47" s="11" t="s">
        <v>90</v>
      </c>
      <c r="G47" s="12">
        <v>6.0</v>
      </c>
      <c r="H47" s="13" t="s">
        <v>35</v>
      </c>
      <c r="I47" s="11" t="s">
        <v>158</v>
      </c>
      <c r="J47" s="14">
        <v>46186.0</v>
      </c>
      <c r="K47" s="14">
        <v>46186.0</v>
      </c>
      <c r="L47" s="12">
        <v>6.0</v>
      </c>
      <c r="M47" s="12">
        <f t="shared" si="1"/>
        <v>0</v>
      </c>
      <c r="N47" s="3"/>
      <c r="O47" s="3"/>
      <c r="P47" s="3"/>
    </row>
    <row r="48" ht="30.0" customHeight="1">
      <c r="A48" s="15">
        <v>1.0</v>
      </c>
      <c r="B48" s="15" t="s">
        <v>126</v>
      </c>
      <c r="C48" s="15" t="s">
        <v>106</v>
      </c>
      <c r="D48" s="15" t="s">
        <v>101</v>
      </c>
      <c r="E48" s="16" t="s">
        <v>159</v>
      </c>
      <c r="F48" s="16" t="s">
        <v>80</v>
      </c>
      <c r="G48" s="17">
        <v>6.0</v>
      </c>
      <c r="H48" s="18" t="s">
        <v>35</v>
      </c>
      <c r="I48" s="16" t="s">
        <v>160</v>
      </c>
      <c r="J48" s="19">
        <v>46186.0</v>
      </c>
      <c r="K48" s="19">
        <v>46186.0</v>
      </c>
      <c r="L48" s="17">
        <v>6.0</v>
      </c>
      <c r="M48" s="17">
        <f t="shared" si="1"/>
        <v>0</v>
      </c>
      <c r="N48" s="3"/>
      <c r="O48" s="3"/>
      <c r="P48" s="3"/>
    </row>
    <row r="49" ht="30.0" customHeight="1">
      <c r="A49" s="10">
        <v>1.0</v>
      </c>
      <c r="B49" s="10" t="s">
        <v>126</v>
      </c>
      <c r="C49" s="10" t="s">
        <v>108</v>
      </c>
      <c r="D49" s="10" t="s">
        <v>109</v>
      </c>
      <c r="E49" s="11" t="s">
        <v>161</v>
      </c>
      <c r="F49" s="11" t="s">
        <v>76</v>
      </c>
      <c r="G49" s="12">
        <v>8.0</v>
      </c>
      <c r="H49" s="13" t="s">
        <v>35</v>
      </c>
      <c r="I49" s="11" t="s">
        <v>162</v>
      </c>
      <c r="J49" s="14">
        <v>46186.0</v>
      </c>
      <c r="K49" s="14">
        <v>46187.0</v>
      </c>
      <c r="L49" s="12">
        <v>8.0</v>
      </c>
      <c r="M49" s="12">
        <f t="shared" si="1"/>
        <v>0</v>
      </c>
      <c r="N49" s="3"/>
      <c r="O49" s="3"/>
      <c r="P49" s="3"/>
    </row>
    <row r="50" ht="30.0" customHeight="1">
      <c r="A50" s="15">
        <v>1.0</v>
      </c>
      <c r="B50" s="15" t="s">
        <v>126</v>
      </c>
      <c r="C50" s="15" t="s">
        <v>111</v>
      </c>
      <c r="D50" s="15" t="s">
        <v>112</v>
      </c>
      <c r="E50" s="16" t="s">
        <v>163</v>
      </c>
      <c r="F50" s="16" t="s">
        <v>80</v>
      </c>
      <c r="G50" s="17">
        <v>5.0</v>
      </c>
      <c r="H50" s="18" t="s">
        <v>35</v>
      </c>
      <c r="I50" s="16" t="s">
        <v>164</v>
      </c>
      <c r="J50" s="19">
        <v>46187.0</v>
      </c>
      <c r="K50" s="19">
        <v>46187.0</v>
      </c>
      <c r="L50" s="17">
        <v>5.0</v>
      </c>
      <c r="M50" s="17">
        <f t="shared" si="1"/>
        <v>0</v>
      </c>
      <c r="N50" s="3"/>
      <c r="O50" s="3"/>
      <c r="P50" s="3"/>
    </row>
    <row r="51" ht="30.0" customHeight="1">
      <c r="A51" s="10">
        <v>1.0</v>
      </c>
      <c r="B51" s="10" t="s">
        <v>126</v>
      </c>
      <c r="C51" s="10" t="s">
        <v>114</v>
      </c>
      <c r="D51" s="10" t="s">
        <v>115</v>
      </c>
      <c r="E51" s="11" t="s">
        <v>165</v>
      </c>
      <c r="F51" s="11" t="s">
        <v>76</v>
      </c>
      <c r="G51" s="12">
        <v>8.0</v>
      </c>
      <c r="H51" s="13" t="s">
        <v>35</v>
      </c>
      <c r="I51" s="11" t="s">
        <v>166</v>
      </c>
      <c r="J51" s="14">
        <v>46187.0</v>
      </c>
      <c r="K51" s="14">
        <v>46187.0</v>
      </c>
      <c r="L51" s="12">
        <v>8.0</v>
      </c>
      <c r="M51" s="12">
        <f t="shared" si="1"/>
        <v>0</v>
      </c>
      <c r="N51" s="3"/>
      <c r="O51" s="3"/>
      <c r="P51" s="3"/>
    </row>
    <row r="52" ht="30.0" customHeight="1">
      <c r="A52" s="15">
        <v>1.0</v>
      </c>
      <c r="B52" s="15" t="s">
        <v>126</v>
      </c>
      <c r="C52" s="15" t="s">
        <v>117</v>
      </c>
      <c r="D52" s="15" t="s">
        <v>118</v>
      </c>
      <c r="E52" s="16" t="s">
        <v>167</v>
      </c>
      <c r="F52" s="16" t="s">
        <v>80</v>
      </c>
      <c r="G52" s="17">
        <v>7.0</v>
      </c>
      <c r="H52" s="18" t="s">
        <v>35</v>
      </c>
      <c r="I52" s="16" t="s">
        <v>168</v>
      </c>
      <c r="J52" s="19">
        <v>46187.0</v>
      </c>
      <c r="K52" s="19">
        <v>46187.0</v>
      </c>
      <c r="L52" s="17">
        <v>7.0</v>
      </c>
      <c r="M52" s="17">
        <f t="shared" si="1"/>
        <v>0</v>
      </c>
      <c r="N52" s="3"/>
      <c r="O52" s="3"/>
      <c r="P52" s="3"/>
    </row>
    <row r="53" ht="30.0" customHeight="1">
      <c r="A53" s="10">
        <v>1.0</v>
      </c>
      <c r="B53" s="10" t="s">
        <v>126</v>
      </c>
      <c r="C53" s="10" t="s">
        <v>120</v>
      </c>
      <c r="D53" s="10" t="s">
        <v>121</v>
      </c>
      <c r="E53" s="11" t="s">
        <v>169</v>
      </c>
      <c r="F53" s="11" t="s">
        <v>90</v>
      </c>
      <c r="G53" s="12">
        <v>7.0</v>
      </c>
      <c r="H53" s="13" t="s">
        <v>35</v>
      </c>
      <c r="I53" s="11" t="s">
        <v>170</v>
      </c>
      <c r="J53" s="14">
        <v>46187.0</v>
      </c>
      <c r="K53" s="14">
        <v>46187.0</v>
      </c>
      <c r="L53" s="12">
        <v>7.0</v>
      </c>
      <c r="M53" s="12">
        <f t="shared" si="1"/>
        <v>0</v>
      </c>
      <c r="N53" s="3"/>
      <c r="O53" s="3"/>
      <c r="P53" s="3"/>
    </row>
    <row r="54" ht="24.75" customHeight="1">
      <c r="A54" s="5" t="s">
        <v>17</v>
      </c>
      <c r="B54" s="6"/>
      <c r="C54" s="6"/>
      <c r="D54" s="6"/>
      <c r="E54" s="6"/>
      <c r="F54" s="6"/>
      <c r="G54" s="6"/>
      <c r="H54" s="6"/>
      <c r="I54" s="7"/>
      <c r="J54" s="8" t="s">
        <v>18</v>
      </c>
      <c r="K54" s="6"/>
      <c r="L54" s="6"/>
      <c r="M54" s="7"/>
      <c r="N54" s="3"/>
      <c r="O54" s="3"/>
      <c r="P54" s="3"/>
    </row>
    <row r="55" ht="24.75" customHeight="1">
      <c r="A55" s="23" t="s">
        <v>171</v>
      </c>
      <c r="B55" s="23" t="s">
        <v>20</v>
      </c>
      <c r="C55" s="23" t="s">
        <v>21</v>
      </c>
      <c r="D55" s="23" t="s">
        <v>22</v>
      </c>
      <c r="E55" s="23" t="s">
        <v>23</v>
      </c>
      <c r="F55" s="23" t="s">
        <v>24</v>
      </c>
      <c r="G55" s="23" t="s">
        <v>25</v>
      </c>
      <c r="H55" s="23" t="s">
        <v>26</v>
      </c>
      <c r="I55" s="23" t="s">
        <v>27</v>
      </c>
      <c r="J55" s="23" t="s">
        <v>6</v>
      </c>
      <c r="K55" s="23" t="s">
        <v>28</v>
      </c>
      <c r="L55" s="23" t="s">
        <v>29</v>
      </c>
      <c r="M55" s="23" t="s">
        <v>30</v>
      </c>
      <c r="N55" s="3"/>
      <c r="O55" s="3"/>
      <c r="P55" s="3"/>
    </row>
    <row r="56" ht="24.75" customHeight="1">
      <c r="A56" s="24">
        <v>2.0</v>
      </c>
      <c r="B56" s="24" t="s">
        <v>31</v>
      </c>
      <c r="C56" s="24" t="s">
        <v>32</v>
      </c>
      <c r="D56" s="24" t="s">
        <v>32</v>
      </c>
      <c r="E56" s="24" t="s">
        <v>172</v>
      </c>
      <c r="F56" s="24" t="s">
        <v>34</v>
      </c>
      <c r="G56" s="25">
        <v>4.0</v>
      </c>
      <c r="H56" s="26" t="s">
        <v>35</v>
      </c>
      <c r="I56" s="27" t="s">
        <v>173</v>
      </c>
      <c r="J56" s="28">
        <v>46268.0</v>
      </c>
      <c r="K56" s="28">
        <v>46268.0</v>
      </c>
      <c r="L56" s="29">
        <v>3.0</v>
      </c>
      <c r="M56" s="30">
        <f t="shared" ref="M56:M83" si="2">L56-G56</f>
        <v>-1</v>
      </c>
      <c r="N56" s="3"/>
      <c r="O56" s="3"/>
      <c r="P56" s="3"/>
    </row>
    <row r="57" ht="24.75" customHeight="1">
      <c r="A57" s="31">
        <v>2.0</v>
      </c>
      <c r="B57" s="31" t="s">
        <v>37</v>
      </c>
      <c r="C57" s="31" t="s">
        <v>32</v>
      </c>
      <c r="D57" s="31" t="s">
        <v>32</v>
      </c>
      <c r="E57" s="31" t="s">
        <v>174</v>
      </c>
      <c r="F57" s="31" t="s">
        <v>175</v>
      </c>
      <c r="G57" s="32">
        <v>4.0</v>
      </c>
      <c r="H57" s="13" t="s">
        <v>35</v>
      </c>
      <c r="I57" s="33" t="s">
        <v>176</v>
      </c>
      <c r="J57" s="34">
        <v>46268.0</v>
      </c>
      <c r="K57" s="34">
        <v>46268.0</v>
      </c>
      <c r="L57" s="35">
        <v>3.0</v>
      </c>
      <c r="M57" s="36">
        <f t="shared" si="2"/>
        <v>-1</v>
      </c>
      <c r="N57" s="3"/>
      <c r="O57" s="3"/>
      <c r="P57" s="3"/>
    </row>
    <row r="58" ht="24.75" customHeight="1">
      <c r="A58" s="24">
        <v>2.0</v>
      </c>
      <c r="B58" s="24" t="s">
        <v>37</v>
      </c>
      <c r="C58" s="24" t="s">
        <v>32</v>
      </c>
      <c r="D58" s="24" t="s">
        <v>32</v>
      </c>
      <c r="E58" s="37" t="s">
        <v>177</v>
      </c>
      <c r="F58" s="37" t="s">
        <v>178</v>
      </c>
      <c r="G58" s="38">
        <v>4.0</v>
      </c>
      <c r="H58" s="26" t="s">
        <v>179</v>
      </c>
      <c r="I58" s="27" t="s">
        <v>180</v>
      </c>
      <c r="J58" s="28">
        <v>46268.0</v>
      </c>
      <c r="K58" s="28">
        <v>46268.0</v>
      </c>
      <c r="L58" s="25">
        <v>5.0</v>
      </c>
      <c r="M58" s="39">
        <f t="shared" si="2"/>
        <v>1</v>
      </c>
      <c r="N58" s="3"/>
      <c r="O58" s="3"/>
      <c r="P58" s="3"/>
    </row>
    <row r="59" ht="24.75" customHeight="1">
      <c r="A59" s="31">
        <v>2.0</v>
      </c>
      <c r="B59" s="31" t="s">
        <v>53</v>
      </c>
      <c r="C59" s="31" t="s">
        <v>32</v>
      </c>
      <c r="D59" s="31" t="s">
        <v>32</v>
      </c>
      <c r="E59" s="31" t="s">
        <v>181</v>
      </c>
      <c r="F59" s="31" t="s">
        <v>46</v>
      </c>
      <c r="G59" s="32">
        <v>4.0</v>
      </c>
      <c r="H59" s="13" t="s">
        <v>35</v>
      </c>
      <c r="I59" s="40"/>
      <c r="J59" s="34">
        <v>46268.0</v>
      </c>
      <c r="K59" s="34">
        <v>46273.0</v>
      </c>
      <c r="L59" s="35">
        <v>7.0</v>
      </c>
      <c r="M59" s="36">
        <f t="shared" si="2"/>
        <v>3</v>
      </c>
      <c r="N59" s="3"/>
      <c r="O59" s="3"/>
      <c r="P59" s="3"/>
    </row>
    <row r="60" ht="24.75" customHeight="1">
      <c r="A60" s="24">
        <v>2.0</v>
      </c>
      <c r="B60" s="24" t="s">
        <v>31</v>
      </c>
      <c r="C60" s="24" t="s">
        <v>32</v>
      </c>
      <c r="D60" s="24" t="s">
        <v>32</v>
      </c>
      <c r="E60" s="24" t="s">
        <v>182</v>
      </c>
      <c r="F60" s="24" t="s">
        <v>183</v>
      </c>
      <c r="G60" s="25">
        <v>8.0</v>
      </c>
      <c r="H60" s="26" t="s">
        <v>179</v>
      </c>
      <c r="I60" s="27" t="s">
        <v>184</v>
      </c>
      <c r="J60" s="28">
        <v>46268.0</v>
      </c>
      <c r="K60" s="28">
        <v>46268.0</v>
      </c>
      <c r="L60" s="38">
        <v>4.0</v>
      </c>
      <c r="M60" s="30">
        <f t="shared" si="2"/>
        <v>-4</v>
      </c>
      <c r="N60" s="3"/>
      <c r="O60" s="3"/>
      <c r="P60" s="3"/>
    </row>
    <row r="61" ht="24.75" customHeight="1">
      <c r="A61" s="41">
        <v>2.0</v>
      </c>
      <c r="B61" s="41" t="s">
        <v>53</v>
      </c>
      <c r="C61" s="41" t="s">
        <v>185</v>
      </c>
      <c r="D61" s="41" t="s">
        <v>186</v>
      </c>
      <c r="E61" s="31" t="s">
        <v>56</v>
      </c>
      <c r="F61" s="41" t="s">
        <v>57</v>
      </c>
      <c r="G61" s="42">
        <v>2.0</v>
      </c>
      <c r="H61" s="13" t="s">
        <v>35</v>
      </c>
      <c r="I61" s="33" t="s">
        <v>187</v>
      </c>
      <c r="J61" s="34">
        <v>46268.0</v>
      </c>
      <c r="K61" s="34">
        <v>46268.0</v>
      </c>
      <c r="L61" s="32">
        <v>2.0</v>
      </c>
      <c r="M61" s="43">
        <f t="shared" si="2"/>
        <v>0</v>
      </c>
      <c r="N61" s="3"/>
      <c r="O61" s="3"/>
      <c r="P61" s="3"/>
    </row>
    <row r="62" ht="24.75" customHeight="1">
      <c r="A62" s="44">
        <v>2.0</v>
      </c>
      <c r="B62" s="37" t="s">
        <v>53</v>
      </c>
      <c r="C62" s="44" t="s">
        <v>188</v>
      </c>
      <c r="D62" s="44" t="s">
        <v>189</v>
      </c>
      <c r="E62" s="24" t="s">
        <v>56</v>
      </c>
      <c r="F62" s="37" t="s">
        <v>57</v>
      </c>
      <c r="G62" s="45">
        <v>2.0</v>
      </c>
      <c r="H62" s="26" t="s">
        <v>179</v>
      </c>
      <c r="I62" s="27" t="s">
        <v>190</v>
      </c>
      <c r="J62" s="28">
        <v>46268.0</v>
      </c>
      <c r="K62" s="28">
        <v>46268.0</v>
      </c>
      <c r="L62" s="29">
        <v>2.0</v>
      </c>
      <c r="M62" s="39">
        <f t="shared" si="2"/>
        <v>0</v>
      </c>
      <c r="N62" s="3"/>
      <c r="O62" s="3"/>
      <c r="P62" s="3"/>
    </row>
    <row r="63" ht="24.75" customHeight="1">
      <c r="A63" s="46">
        <v>2.0</v>
      </c>
      <c r="B63" s="41" t="s">
        <v>53</v>
      </c>
      <c r="C63" s="46" t="s">
        <v>191</v>
      </c>
      <c r="D63" s="46" t="s">
        <v>192</v>
      </c>
      <c r="E63" s="31" t="s">
        <v>56</v>
      </c>
      <c r="F63" s="41" t="s">
        <v>57</v>
      </c>
      <c r="G63" s="47">
        <v>2.0</v>
      </c>
      <c r="H63" s="13" t="s">
        <v>35</v>
      </c>
      <c r="I63" s="33" t="s">
        <v>193</v>
      </c>
      <c r="J63" s="34">
        <v>46268.0</v>
      </c>
      <c r="K63" s="34">
        <v>46268.0</v>
      </c>
      <c r="L63" s="35">
        <v>2.0</v>
      </c>
      <c r="M63" s="43">
        <f t="shared" si="2"/>
        <v>0</v>
      </c>
      <c r="N63" s="3"/>
      <c r="O63" s="3"/>
      <c r="P63" s="3"/>
    </row>
    <row r="64" ht="24.75" customHeight="1">
      <c r="A64" s="44">
        <v>2.0</v>
      </c>
      <c r="B64" s="37" t="s">
        <v>53</v>
      </c>
      <c r="C64" s="44" t="s">
        <v>194</v>
      </c>
      <c r="D64" s="44" t="s">
        <v>195</v>
      </c>
      <c r="E64" s="24" t="s">
        <v>56</v>
      </c>
      <c r="F64" s="37" t="s">
        <v>57</v>
      </c>
      <c r="G64" s="45">
        <v>2.0</v>
      </c>
      <c r="H64" s="26" t="s">
        <v>179</v>
      </c>
      <c r="I64" s="27" t="s">
        <v>196</v>
      </c>
      <c r="J64" s="28">
        <v>46268.0</v>
      </c>
      <c r="K64" s="28">
        <v>46268.0</v>
      </c>
      <c r="L64" s="29">
        <v>2.0</v>
      </c>
      <c r="M64" s="39">
        <f t="shared" si="2"/>
        <v>0</v>
      </c>
      <c r="N64" s="3"/>
      <c r="O64" s="3"/>
      <c r="P64" s="3"/>
    </row>
    <row r="65" ht="24.75" customHeight="1">
      <c r="A65" s="48">
        <v>2.0</v>
      </c>
      <c r="B65" s="41" t="s">
        <v>53</v>
      </c>
      <c r="C65" s="48" t="s">
        <v>197</v>
      </c>
      <c r="D65" s="48" t="s">
        <v>198</v>
      </c>
      <c r="E65" s="31" t="s">
        <v>56</v>
      </c>
      <c r="F65" s="10" t="s">
        <v>76</v>
      </c>
      <c r="G65" s="35">
        <v>2.0</v>
      </c>
      <c r="H65" s="13" t="s">
        <v>35</v>
      </c>
      <c r="I65" s="49" t="s">
        <v>199</v>
      </c>
      <c r="J65" s="34">
        <v>46268.0</v>
      </c>
      <c r="K65" s="34">
        <v>46268.0</v>
      </c>
      <c r="L65" s="50">
        <v>2.0</v>
      </c>
      <c r="M65" s="12">
        <f t="shared" si="2"/>
        <v>0</v>
      </c>
      <c r="N65" s="3"/>
      <c r="O65" s="3"/>
      <c r="P65" s="3"/>
    </row>
    <row r="66" ht="24.75" customHeight="1">
      <c r="A66" s="44">
        <v>2.0</v>
      </c>
      <c r="B66" s="37" t="s">
        <v>53</v>
      </c>
      <c r="C66" s="44" t="s">
        <v>200</v>
      </c>
      <c r="D66" s="44" t="s">
        <v>201</v>
      </c>
      <c r="E66" s="24" t="s">
        <v>56</v>
      </c>
      <c r="F66" s="51" t="s">
        <v>76</v>
      </c>
      <c r="G66" s="45">
        <v>2.0</v>
      </c>
      <c r="H66" s="26" t="s">
        <v>179</v>
      </c>
      <c r="I66" s="52" t="s">
        <v>202</v>
      </c>
      <c r="J66" s="28">
        <v>46268.0</v>
      </c>
      <c r="K66" s="28">
        <v>46268.0</v>
      </c>
      <c r="L66" s="53">
        <v>2.0</v>
      </c>
      <c r="M66" s="54">
        <f t="shared" si="2"/>
        <v>0</v>
      </c>
      <c r="N66" s="3"/>
      <c r="O66" s="3"/>
      <c r="P66" s="3"/>
    </row>
    <row r="67" ht="24.75" customHeight="1">
      <c r="A67" s="48">
        <v>2.0</v>
      </c>
      <c r="B67" s="41" t="s">
        <v>53</v>
      </c>
      <c r="C67" s="48" t="s">
        <v>203</v>
      </c>
      <c r="D67" s="48" t="s">
        <v>204</v>
      </c>
      <c r="E67" s="31" t="s">
        <v>56</v>
      </c>
      <c r="F67" s="10" t="s">
        <v>76</v>
      </c>
      <c r="G67" s="35">
        <v>2.0</v>
      </c>
      <c r="H67" s="13" t="s">
        <v>35</v>
      </c>
      <c r="I67" s="49" t="s">
        <v>205</v>
      </c>
      <c r="J67" s="34">
        <v>46268.0</v>
      </c>
      <c r="K67" s="34">
        <v>46268.0</v>
      </c>
      <c r="L67" s="50">
        <v>2.0</v>
      </c>
      <c r="M67" s="12">
        <f t="shared" si="2"/>
        <v>0</v>
      </c>
      <c r="N67" s="3"/>
      <c r="O67" s="3"/>
      <c r="P67" s="3"/>
    </row>
    <row r="68" ht="24.75" customHeight="1">
      <c r="A68" s="55">
        <v>2.0</v>
      </c>
      <c r="B68" s="37" t="s">
        <v>53</v>
      </c>
      <c r="C68" s="55" t="s">
        <v>206</v>
      </c>
      <c r="D68" s="55" t="s">
        <v>207</v>
      </c>
      <c r="E68" s="24" t="s">
        <v>56</v>
      </c>
      <c r="F68" s="51" t="s">
        <v>76</v>
      </c>
      <c r="G68" s="29">
        <v>2.0</v>
      </c>
      <c r="H68" s="26" t="s">
        <v>179</v>
      </c>
      <c r="I68" s="52" t="s">
        <v>208</v>
      </c>
      <c r="J68" s="28">
        <v>46268.0</v>
      </c>
      <c r="K68" s="28">
        <v>46268.0</v>
      </c>
      <c r="L68" s="53">
        <v>2.0</v>
      </c>
      <c r="M68" s="54">
        <f t="shared" si="2"/>
        <v>0</v>
      </c>
      <c r="N68" s="3"/>
      <c r="O68" s="3"/>
      <c r="P68" s="3"/>
    </row>
    <row r="69" ht="24.75" customHeight="1">
      <c r="A69" s="48">
        <v>2.0</v>
      </c>
      <c r="B69" s="41" t="s">
        <v>53</v>
      </c>
      <c r="C69" s="48" t="s">
        <v>209</v>
      </c>
      <c r="D69" s="48" t="s">
        <v>210</v>
      </c>
      <c r="E69" s="31" t="s">
        <v>56</v>
      </c>
      <c r="F69" s="48" t="s">
        <v>42</v>
      </c>
      <c r="G69" s="35">
        <v>3.0</v>
      </c>
      <c r="H69" s="13" t="s">
        <v>35</v>
      </c>
      <c r="I69" s="49" t="s">
        <v>211</v>
      </c>
      <c r="J69" s="34">
        <v>46268.0</v>
      </c>
      <c r="K69" s="34">
        <v>46268.0</v>
      </c>
      <c r="L69" s="50">
        <v>3.0</v>
      </c>
      <c r="M69" s="12">
        <f t="shared" si="2"/>
        <v>0</v>
      </c>
      <c r="N69" s="3"/>
      <c r="O69" s="3"/>
      <c r="P69" s="3"/>
    </row>
    <row r="70" ht="24.75" customHeight="1">
      <c r="A70" s="55">
        <v>2.0</v>
      </c>
      <c r="B70" s="37" t="s">
        <v>53</v>
      </c>
      <c r="C70" s="55" t="s">
        <v>212</v>
      </c>
      <c r="D70" s="55" t="s">
        <v>213</v>
      </c>
      <c r="E70" s="24" t="s">
        <v>56</v>
      </c>
      <c r="F70" s="55" t="s">
        <v>42</v>
      </c>
      <c r="G70" s="29">
        <v>3.0</v>
      </c>
      <c r="H70" s="26" t="s">
        <v>179</v>
      </c>
      <c r="I70" s="52" t="s">
        <v>214</v>
      </c>
      <c r="J70" s="28">
        <v>46268.0</v>
      </c>
      <c r="K70" s="28">
        <v>46268.0</v>
      </c>
      <c r="L70" s="53">
        <v>3.0</v>
      </c>
      <c r="M70" s="54">
        <f t="shared" si="2"/>
        <v>0</v>
      </c>
      <c r="N70" s="3"/>
      <c r="O70" s="3"/>
      <c r="P70" s="3"/>
    </row>
    <row r="71" ht="24.75" customHeight="1">
      <c r="A71" s="46">
        <v>2.0</v>
      </c>
      <c r="B71" s="41" t="s">
        <v>53</v>
      </c>
      <c r="C71" s="48" t="s">
        <v>215</v>
      </c>
      <c r="D71" s="48" t="s">
        <v>216</v>
      </c>
      <c r="E71" s="31" t="s">
        <v>56</v>
      </c>
      <c r="F71" s="48" t="s">
        <v>42</v>
      </c>
      <c r="G71" s="47">
        <v>3.0</v>
      </c>
      <c r="H71" s="13" t="s">
        <v>35</v>
      </c>
      <c r="I71" s="49" t="s">
        <v>217</v>
      </c>
      <c r="J71" s="34">
        <v>46268.0</v>
      </c>
      <c r="K71" s="34">
        <v>46268.0</v>
      </c>
      <c r="L71" s="50">
        <v>3.0</v>
      </c>
      <c r="M71" s="12">
        <f t="shared" si="2"/>
        <v>0</v>
      </c>
      <c r="N71" s="3"/>
      <c r="O71" s="3"/>
      <c r="P71" s="3"/>
    </row>
    <row r="72" ht="24.75" customHeight="1">
      <c r="A72" s="55">
        <v>2.0</v>
      </c>
      <c r="B72" s="37" t="s">
        <v>53</v>
      </c>
      <c r="C72" s="55" t="s">
        <v>218</v>
      </c>
      <c r="D72" s="55" t="s">
        <v>219</v>
      </c>
      <c r="E72" s="24" t="s">
        <v>56</v>
      </c>
      <c r="F72" s="55" t="s">
        <v>42</v>
      </c>
      <c r="G72" s="29">
        <v>3.0</v>
      </c>
      <c r="H72" s="26" t="s">
        <v>179</v>
      </c>
      <c r="I72" s="52" t="s">
        <v>220</v>
      </c>
      <c r="J72" s="28">
        <v>46268.0</v>
      </c>
      <c r="K72" s="28">
        <v>46268.0</v>
      </c>
      <c r="L72" s="53">
        <v>3.0</v>
      </c>
      <c r="M72" s="54">
        <f t="shared" si="2"/>
        <v>0</v>
      </c>
      <c r="N72" s="3"/>
      <c r="O72" s="3"/>
      <c r="P72" s="3"/>
    </row>
    <row r="73" ht="24.75" customHeight="1">
      <c r="A73" s="48">
        <v>2.0</v>
      </c>
      <c r="B73" s="41" t="s">
        <v>53</v>
      </c>
      <c r="C73" s="48" t="s">
        <v>221</v>
      </c>
      <c r="D73" s="48" t="s">
        <v>222</v>
      </c>
      <c r="E73" s="31" t="s">
        <v>56</v>
      </c>
      <c r="F73" s="48" t="s">
        <v>90</v>
      </c>
      <c r="G73" s="35">
        <v>2.0</v>
      </c>
      <c r="H73" s="13" t="s">
        <v>35</v>
      </c>
      <c r="I73" s="49" t="s">
        <v>223</v>
      </c>
      <c r="J73" s="34">
        <v>46268.0</v>
      </c>
      <c r="K73" s="34">
        <v>46268.0</v>
      </c>
      <c r="L73" s="50">
        <v>3.0</v>
      </c>
      <c r="M73" s="12">
        <f t="shared" si="2"/>
        <v>1</v>
      </c>
      <c r="N73" s="3"/>
      <c r="O73" s="3"/>
      <c r="P73" s="3"/>
    </row>
    <row r="74" ht="24.75" customHeight="1">
      <c r="A74" s="44">
        <v>2.0</v>
      </c>
      <c r="B74" s="37" t="s">
        <v>53</v>
      </c>
      <c r="C74" s="44" t="s">
        <v>224</v>
      </c>
      <c r="D74" s="44" t="s">
        <v>225</v>
      </c>
      <c r="E74" s="24" t="s">
        <v>56</v>
      </c>
      <c r="F74" s="44" t="s">
        <v>90</v>
      </c>
      <c r="G74" s="45">
        <v>2.0</v>
      </c>
      <c r="H74" s="26" t="s">
        <v>179</v>
      </c>
      <c r="I74" s="52" t="s">
        <v>226</v>
      </c>
      <c r="J74" s="28">
        <v>46268.0</v>
      </c>
      <c r="K74" s="28">
        <v>46268.0</v>
      </c>
      <c r="L74" s="53">
        <v>3.0</v>
      </c>
      <c r="M74" s="54">
        <f t="shared" si="2"/>
        <v>1</v>
      </c>
      <c r="N74" s="3"/>
      <c r="O74" s="3"/>
      <c r="P74" s="3"/>
    </row>
    <row r="75" ht="24.75" customHeight="1">
      <c r="A75" s="48">
        <v>2.0</v>
      </c>
      <c r="B75" s="41" t="s">
        <v>53</v>
      </c>
      <c r="C75" s="48" t="s">
        <v>227</v>
      </c>
      <c r="D75" s="48" t="s">
        <v>228</v>
      </c>
      <c r="E75" s="31" t="s">
        <v>56</v>
      </c>
      <c r="F75" s="48" t="s">
        <v>90</v>
      </c>
      <c r="G75" s="35">
        <v>2.0</v>
      </c>
      <c r="H75" s="13" t="s">
        <v>35</v>
      </c>
      <c r="I75" s="49" t="s">
        <v>229</v>
      </c>
      <c r="J75" s="34">
        <v>46268.0</v>
      </c>
      <c r="K75" s="34">
        <v>46268.0</v>
      </c>
      <c r="L75" s="50">
        <v>2.0</v>
      </c>
      <c r="M75" s="12">
        <f t="shared" si="2"/>
        <v>0</v>
      </c>
      <c r="N75" s="3"/>
      <c r="O75" s="3"/>
      <c r="P75" s="3"/>
    </row>
    <row r="76" ht="24.75" customHeight="1">
      <c r="A76" s="44">
        <v>2.0</v>
      </c>
      <c r="B76" s="37" t="s">
        <v>53</v>
      </c>
      <c r="C76" s="55" t="s">
        <v>230</v>
      </c>
      <c r="D76" s="55" t="s">
        <v>231</v>
      </c>
      <c r="E76" s="24" t="s">
        <v>56</v>
      </c>
      <c r="F76" s="55" t="s">
        <v>90</v>
      </c>
      <c r="G76" s="29">
        <v>3.0</v>
      </c>
      <c r="H76" s="26" t="s">
        <v>179</v>
      </c>
      <c r="I76" s="52" t="s">
        <v>232</v>
      </c>
      <c r="J76" s="28">
        <v>46268.0</v>
      </c>
      <c r="K76" s="28">
        <v>46268.0</v>
      </c>
      <c r="L76" s="53">
        <v>2.0</v>
      </c>
      <c r="M76" s="54">
        <f t="shared" si="2"/>
        <v>-1</v>
      </c>
      <c r="N76" s="3"/>
      <c r="O76" s="3"/>
      <c r="P76" s="3"/>
    </row>
    <row r="77" ht="24.75" customHeight="1">
      <c r="A77" s="46">
        <v>2.0</v>
      </c>
      <c r="B77" s="41" t="s">
        <v>53</v>
      </c>
      <c r="C77" s="46" t="s">
        <v>233</v>
      </c>
      <c r="D77" s="46" t="s">
        <v>234</v>
      </c>
      <c r="E77" s="41" t="s">
        <v>56</v>
      </c>
      <c r="F77" s="46" t="s">
        <v>80</v>
      </c>
      <c r="G77" s="47">
        <v>2.0</v>
      </c>
      <c r="H77" s="13" t="s">
        <v>35</v>
      </c>
      <c r="I77" s="33" t="s">
        <v>235</v>
      </c>
      <c r="J77" s="34">
        <v>46268.0</v>
      </c>
      <c r="K77" s="34">
        <v>46268.0</v>
      </c>
      <c r="L77" s="35">
        <v>3.0</v>
      </c>
      <c r="M77" s="43">
        <f t="shared" si="2"/>
        <v>1</v>
      </c>
      <c r="N77" s="3"/>
      <c r="O77" s="3"/>
      <c r="P77" s="3"/>
    </row>
    <row r="78" ht="24.75" customHeight="1">
      <c r="A78" s="44">
        <v>2.0</v>
      </c>
      <c r="B78" s="37" t="s">
        <v>53</v>
      </c>
      <c r="C78" s="44" t="s">
        <v>236</v>
      </c>
      <c r="D78" s="44" t="s">
        <v>237</v>
      </c>
      <c r="E78" s="37" t="s">
        <v>56</v>
      </c>
      <c r="F78" s="44" t="s">
        <v>80</v>
      </c>
      <c r="G78" s="45">
        <v>2.0</v>
      </c>
      <c r="H78" s="26" t="s">
        <v>179</v>
      </c>
      <c r="I78" s="27" t="s">
        <v>238</v>
      </c>
      <c r="J78" s="28">
        <v>46268.0</v>
      </c>
      <c r="K78" s="28">
        <v>46268.0</v>
      </c>
      <c r="L78" s="29">
        <v>3.0</v>
      </c>
      <c r="M78" s="39">
        <f t="shared" si="2"/>
        <v>1</v>
      </c>
      <c r="N78" s="3"/>
      <c r="O78" s="3"/>
      <c r="P78" s="3"/>
    </row>
    <row r="79" ht="24.75" customHeight="1">
      <c r="A79" s="46">
        <v>2.0</v>
      </c>
      <c r="B79" s="41" t="s">
        <v>53</v>
      </c>
      <c r="C79" s="46" t="s">
        <v>239</v>
      </c>
      <c r="D79" s="46" t="s">
        <v>240</v>
      </c>
      <c r="E79" s="41" t="s">
        <v>56</v>
      </c>
      <c r="F79" s="46" t="s">
        <v>80</v>
      </c>
      <c r="G79" s="47">
        <v>2.0</v>
      </c>
      <c r="H79" s="13" t="s">
        <v>35</v>
      </c>
      <c r="I79" s="33" t="s">
        <v>241</v>
      </c>
      <c r="J79" s="34">
        <v>46268.0</v>
      </c>
      <c r="K79" s="34">
        <v>46268.0</v>
      </c>
      <c r="L79" s="35">
        <v>3.0</v>
      </c>
      <c r="M79" s="43">
        <f t="shared" si="2"/>
        <v>1</v>
      </c>
      <c r="N79" s="3"/>
      <c r="O79" s="3"/>
      <c r="P79" s="3"/>
    </row>
    <row r="80" ht="24.75" customHeight="1">
      <c r="A80" s="44">
        <v>2.0</v>
      </c>
      <c r="B80" s="37" t="s">
        <v>53</v>
      </c>
      <c r="C80" s="44" t="s">
        <v>242</v>
      </c>
      <c r="D80" s="44" t="s">
        <v>243</v>
      </c>
      <c r="E80" s="37" t="s">
        <v>56</v>
      </c>
      <c r="F80" s="44" t="s">
        <v>80</v>
      </c>
      <c r="G80" s="45">
        <v>2.0</v>
      </c>
      <c r="H80" s="26" t="s">
        <v>179</v>
      </c>
      <c r="I80" s="27" t="s">
        <v>244</v>
      </c>
      <c r="J80" s="28">
        <v>46268.0</v>
      </c>
      <c r="K80" s="28">
        <v>46268.0</v>
      </c>
      <c r="L80" s="29">
        <v>3.0</v>
      </c>
      <c r="M80" s="39">
        <f t="shared" si="2"/>
        <v>1</v>
      </c>
      <c r="N80" s="3"/>
      <c r="O80" s="3"/>
      <c r="P80" s="3"/>
    </row>
    <row r="81" ht="24.75" customHeight="1">
      <c r="A81" s="46">
        <v>2.0</v>
      </c>
      <c r="B81" s="56" t="s">
        <v>53</v>
      </c>
      <c r="C81" s="56" t="s">
        <v>245</v>
      </c>
      <c r="D81" s="56" t="s">
        <v>246</v>
      </c>
      <c r="E81" s="31" t="s">
        <v>56</v>
      </c>
      <c r="F81" s="56" t="s">
        <v>46</v>
      </c>
      <c r="G81" s="56">
        <v>1.0</v>
      </c>
      <c r="H81" s="13" t="s">
        <v>35</v>
      </c>
      <c r="I81" s="57" t="s">
        <v>247</v>
      </c>
      <c r="J81" s="34">
        <v>46272.0</v>
      </c>
      <c r="K81" s="34">
        <v>46272.0</v>
      </c>
      <c r="L81" s="56">
        <v>1.0</v>
      </c>
      <c r="M81" s="12">
        <f t="shared" si="2"/>
        <v>0</v>
      </c>
      <c r="N81" s="3"/>
      <c r="O81" s="3"/>
      <c r="P81" s="3"/>
    </row>
    <row r="82" ht="24.75" customHeight="1">
      <c r="A82" s="44">
        <v>2.0</v>
      </c>
      <c r="B82" s="58" t="s">
        <v>53</v>
      </c>
      <c r="C82" s="58" t="s">
        <v>248</v>
      </c>
      <c r="D82" s="58" t="s">
        <v>249</v>
      </c>
      <c r="E82" s="24" t="s">
        <v>56</v>
      </c>
      <c r="F82" s="58" t="s">
        <v>46</v>
      </c>
      <c r="G82" s="58">
        <v>1.0</v>
      </c>
      <c r="H82" s="26" t="s">
        <v>179</v>
      </c>
      <c r="I82" s="59" t="s">
        <v>250</v>
      </c>
      <c r="J82" s="28">
        <v>46272.0</v>
      </c>
      <c r="K82" s="28">
        <v>46272.0</v>
      </c>
      <c r="L82" s="58">
        <v>1.0</v>
      </c>
      <c r="M82" s="54">
        <f t="shared" si="2"/>
        <v>0</v>
      </c>
      <c r="N82" s="3"/>
      <c r="O82" s="3"/>
      <c r="P82" s="3"/>
    </row>
    <row r="83" ht="24.75" customHeight="1">
      <c r="A83" s="46">
        <v>2.0</v>
      </c>
      <c r="B83" s="56" t="s">
        <v>53</v>
      </c>
      <c r="C83" s="56" t="s">
        <v>251</v>
      </c>
      <c r="D83" s="56" t="s">
        <v>252</v>
      </c>
      <c r="E83" s="31" t="s">
        <v>56</v>
      </c>
      <c r="F83" s="56" t="s">
        <v>46</v>
      </c>
      <c r="G83" s="56">
        <v>1.0</v>
      </c>
      <c r="H83" s="13" t="s">
        <v>35</v>
      </c>
      <c r="I83" s="57" t="s">
        <v>253</v>
      </c>
      <c r="J83" s="34">
        <v>46272.0</v>
      </c>
      <c r="K83" s="34">
        <v>46272.0</v>
      </c>
      <c r="L83" s="56">
        <v>1.0</v>
      </c>
      <c r="M83" s="12">
        <f t="shared" si="2"/>
        <v>0</v>
      </c>
      <c r="N83" s="3"/>
      <c r="O83" s="3"/>
      <c r="P83" s="3"/>
    </row>
    <row r="84" ht="24.75" customHeight="1">
      <c r="A84" s="60">
        <v>2.0</v>
      </c>
      <c r="B84" s="61" t="s">
        <v>53</v>
      </c>
      <c r="C84" s="61" t="s">
        <v>185</v>
      </c>
      <c r="D84" s="61" t="s">
        <v>186</v>
      </c>
      <c r="E84" s="61" t="s">
        <v>56</v>
      </c>
      <c r="F84" s="61" t="s">
        <v>57</v>
      </c>
      <c r="G84" s="62">
        <v>2.0</v>
      </c>
      <c r="H84" s="26" t="s">
        <v>179</v>
      </c>
      <c r="I84" s="63" t="s">
        <v>254</v>
      </c>
      <c r="J84" s="64">
        <v>46273.0</v>
      </c>
      <c r="K84" s="64">
        <v>46273.0</v>
      </c>
      <c r="L84" s="65">
        <v>2.0</v>
      </c>
      <c r="M84" s="66">
        <v>0.0</v>
      </c>
      <c r="N84" s="3"/>
      <c r="O84" s="3"/>
      <c r="P84" s="3"/>
    </row>
    <row r="85" ht="24.75" customHeight="1">
      <c r="A85" s="67">
        <v>2.0</v>
      </c>
      <c r="B85" s="68" t="s">
        <v>53</v>
      </c>
      <c r="C85" s="69" t="s">
        <v>188</v>
      </c>
      <c r="D85" s="69" t="s">
        <v>189</v>
      </c>
      <c r="E85" s="68" t="s">
        <v>56</v>
      </c>
      <c r="F85" s="68" t="s">
        <v>57</v>
      </c>
      <c r="G85" s="70">
        <v>2.0</v>
      </c>
      <c r="H85" s="13" t="s">
        <v>35</v>
      </c>
      <c r="I85" s="71" t="s">
        <v>255</v>
      </c>
      <c r="J85" s="72">
        <v>46273.0</v>
      </c>
      <c r="K85" s="72">
        <v>46273.0</v>
      </c>
      <c r="L85" s="73">
        <v>2.0</v>
      </c>
      <c r="M85" s="74">
        <v>0.0</v>
      </c>
      <c r="N85" s="3"/>
      <c r="O85" s="3"/>
      <c r="P85" s="3"/>
    </row>
    <row r="86" ht="24.75" customHeight="1">
      <c r="A86" s="60">
        <v>2.0</v>
      </c>
      <c r="B86" s="61" t="s">
        <v>53</v>
      </c>
      <c r="C86" s="75" t="s">
        <v>191</v>
      </c>
      <c r="D86" s="75" t="s">
        <v>192</v>
      </c>
      <c r="E86" s="61" t="s">
        <v>56</v>
      </c>
      <c r="F86" s="61" t="s">
        <v>57</v>
      </c>
      <c r="G86" s="76">
        <v>2.0</v>
      </c>
      <c r="H86" s="26" t="s">
        <v>179</v>
      </c>
      <c r="I86" s="63" t="s">
        <v>256</v>
      </c>
      <c r="J86" s="64">
        <v>46273.0</v>
      </c>
      <c r="K86" s="64">
        <v>46273.0</v>
      </c>
      <c r="L86" s="65">
        <v>2.0</v>
      </c>
      <c r="M86" s="66">
        <v>0.0</v>
      </c>
      <c r="N86" s="3"/>
      <c r="O86" s="3"/>
      <c r="P86" s="3"/>
    </row>
    <row r="87" ht="24.75" customHeight="1">
      <c r="A87" s="67">
        <v>2.0</v>
      </c>
      <c r="B87" s="68" t="s">
        <v>53</v>
      </c>
      <c r="C87" s="69" t="s">
        <v>194</v>
      </c>
      <c r="D87" s="69" t="s">
        <v>195</v>
      </c>
      <c r="E87" s="68" t="s">
        <v>56</v>
      </c>
      <c r="F87" s="68" t="s">
        <v>57</v>
      </c>
      <c r="G87" s="70">
        <v>2.0</v>
      </c>
      <c r="H87" s="13" t="s">
        <v>35</v>
      </c>
      <c r="I87" s="71" t="s">
        <v>257</v>
      </c>
      <c r="J87" s="72">
        <v>46273.0</v>
      </c>
      <c r="K87" s="72">
        <v>46273.0</v>
      </c>
      <c r="L87" s="73">
        <v>2.0</v>
      </c>
      <c r="M87" s="74">
        <v>0.0</v>
      </c>
      <c r="N87" s="3"/>
      <c r="O87" s="3"/>
      <c r="P87" s="3"/>
    </row>
    <row r="88" ht="24.75" customHeight="1">
      <c r="A88" s="44">
        <v>2.0</v>
      </c>
      <c r="B88" s="61" t="s">
        <v>53</v>
      </c>
      <c r="C88" s="55" t="s">
        <v>258</v>
      </c>
      <c r="D88" s="55" t="s">
        <v>259</v>
      </c>
      <c r="E88" s="61" t="s">
        <v>56</v>
      </c>
      <c r="F88" s="55" t="s">
        <v>39</v>
      </c>
      <c r="G88" s="76">
        <v>2.0</v>
      </c>
      <c r="H88" s="26" t="s">
        <v>179</v>
      </c>
      <c r="I88" s="52" t="s">
        <v>260</v>
      </c>
      <c r="J88" s="64">
        <v>46273.0</v>
      </c>
      <c r="K88" s="64">
        <v>46273.0</v>
      </c>
      <c r="L88" s="53">
        <v>4.0</v>
      </c>
      <c r="M88" s="54">
        <f t="shared" ref="M88:M120" si="3">L88-G88</f>
        <v>2</v>
      </c>
      <c r="N88" s="3"/>
      <c r="O88" s="3"/>
      <c r="P88" s="3"/>
    </row>
    <row r="89" ht="24.75" customHeight="1">
      <c r="A89" s="46">
        <v>2.0</v>
      </c>
      <c r="B89" s="68" t="s">
        <v>53</v>
      </c>
      <c r="C89" s="48" t="s">
        <v>261</v>
      </c>
      <c r="D89" s="48" t="s">
        <v>259</v>
      </c>
      <c r="E89" s="68" t="s">
        <v>56</v>
      </c>
      <c r="F89" s="48" t="s">
        <v>39</v>
      </c>
      <c r="G89" s="70">
        <v>2.0</v>
      </c>
      <c r="H89" s="13" t="s">
        <v>35</v>
      </c>
      <c r="I89" s="49" t="s">
        <v>260</v>
      </c>
      <c r="J89" s="72">
        <v>46273.0</v>
      </c>
      <c r="K89" s="72">
        <v>46273.0</v>
      </c>
      <c r="L89" s="50">
        <v>4.0</v>
      </c>
      <c r="M89" s="12">
        <f t="shared" si="3"/>
        <v>2</v>
      </c>
      <c r="N89" s="3"/>
      <c r="O89" s="3"/>
      <c r="P89" s="3"/>
    </row>
    <row r="90" ht="24.75" customHeight="1">
      <c r="A90" s="44">
        <v>2.0</v>
      </c>
      <c r="B90" s="61" t="s">
        <v>53</v>
      </c>
      <c r="C90" s="44" t="s">
        <v>262</v>
      </c>
      <c r="D90" s="44" t="s">
        <v>263</v>
      </c>
      <c r="E90" s="61" t="s">
        <v>56</v>
      </c>
      <c r="F90" s="55" t="s">
        <v>39</v>
      </c>
      <c r="G90" s="76">
        <v>2.0</v>
      </c>
      <c r="H90" s="26" t="s">
        <v>179</v>
      </c>
      <c r="I90" s="52" t="s">
        <v>260</v>
      </c>
      <c r="J90" s="64">
        <v>46273.0</v>
      </c>
      <c r="K90" s="64">
        <v>46273.0</v>
      </c>
      <c r="L90" s="53">
        <v>4.0</v>
      </c>
      <c r="M90" s="54">
        <f t="shared" si="3"/>
        <v>2</v>
      </c>
      <c r="N90" s="3"/>
      <c r="O90" s="3"/>
      <c r="P90" s="3"/>
    </row>
    <row r="91" ht="24.75" customHeight="1">
      <c r="A91" s="46">
        <v>2.0</v>
      </c>
      <c r="B91" s="31" t="s">
        <v>37</v>
      </c>
      <c r="C91" s="31" t="s">
        <v>32</v>
      </c>
      <c r="D91" s="31" t="s">
        <v>32</v>
      </c>
      <c r="E91" s="48" t="s">
        <v>264</v>
      </c>
      <c r="F91" s="48" t="s">
        <v>39</v>
      </c>
      <c r="G91" s="35">
        <v>4.0</v>
      </c>
      <c r="H91" s="13" t="s">
        <v>35</v>
      </c>
      <c r="I91" s="49" t="s">
        <v>265</v>
      </c>
      <c r="J91" s="72">
        <v>46274.0</v>
      </c>
      <c r="K91" s="72">
        <v>46274.0</v>
      </c>
      <c r="L91" s="50"/>
      <c r="M91" s="12">
        <f t="shared" si="3"/>
        <v>-4</v>
      </c>
      <c r="N91" s="3"/>
      <c r="O91" s="3"/>
      <c r="P91" s="3"/>
    </row>
    <row r="92" ht="24.75" customHeight="1">
      <c r="A92" s="44">
        <v>2.0</v>
      </c>
      <c r="B92" s="55" t="s">
        <v>266</v>
      </c>
      <c r="C92" s="55" t="s">
        <v>32</v>
      </c>
      <c r="D92" s="55" t="s">
        <v>32</v>
      </c>
      <c r="E92" s="55" t="s">
        <v>267</v>
      </c>
      <c r="F92" s="55" t="s">
        <v>90</v>
      </c>
      <c r="G92" s="29">
        <v>2.0</v>
      </c>
      <c r="H92" s="26" t="s">
        <v>179</v>
      </c>
      <c r="I92" s="52" t="s">
        <v>268</v>
      </c>
      <c r="J92" s="64">
        <v>46274.0</v>
      </c>
      <c r="K92" s="64">
        <v>46274.0</v>
      </c>
      <c r="L92" s="53">
        <v>2.0</v>
      </c>
      <c r="M92" s="54">
        <f t="shared" si="3"/>
        <v>0</v>
      </c>
      <c r="N92" s="3"/>
      <c r="O92" s="3"/>
      <c r="P92" s="3"/>
    </row>
    <row r="93" ht="24.75" customHeight="1">
      <c r="A93" s="46">
        <v>2.0</v>
      </c>
      <c r="B93" s="48" t="s">
        <v>266</v>
      </c>
      <c r="C93" s="48" t="s">
        <v>32</v>
      </c>
      <c r="D93" s="48" t="s">
        <v>32</v>
      </c>
      <c r="E93" s="48" t="s">
        <v>269</v>
      </c>
      <c r="F93" s="48" t="s">
        <v>80</v>
      </c>
      <c r="G93" s="35">
        <v>5.0</v>
      </c>
      <c r="H93" s="13" t="s">
        <v>35</v>
      </c>
      <c r="I93" s="49" t="s">
        <v>270</v>
      </c>
      <c r="J93" s="72">
        <v>46274.0</v>
      </c>
      <c r="K93" s="72">
        <v>46274.0</v>
      </c>
      <c r="L93" s="50">
        <v>4.0</v>
      </c>
      <c r="M93" s="12">
        <f t="shared" si="3"/>
        <v>-1</v>
      </c>
      <c r="N93" s="3"/>
      <c r="O93" s="3"/>
      <c r="P93" s="3"/>
    </row>
    <row r="94" ht="24.75" customHeight="1">
      <c r="A94" s="44">
        <v>2.0</v>
      </c>
      <c r="B94" s="55" t="s">
        <v>271</v>
      </c>
      <c r="C94" s="55" t="s">
        <v>32</v>
      </c>
      <c r="D94" s="55" t="s">
        <v>32</v>
      </c>
      <c r="E94" s="55" t="s">
        <v>272</v>
      </c>
      <c r="F94" s="55" t="s">
        <v>80</v>
      </c>
      <c r="G94" s="29">
        <v>2.0</v>
      </c>
      <c r="H94" s="26" t="s">
        <v>179</v>
      </c>
      <c r="I94" s="52" t="s">
        <v>273</v>
      </c>
      <c r="J94" s="64">
        <v>46275.0</v>
      </c>
      <c r="K94" s="64">
        <v>46275.0</v>
      </c>
      <c r="L94" s="53">
        <v>4.0</v>
      </c>
      <c r="M94" s="54">
        <f t="shared" si="3"/>
        <v>2</v>
      </c>
      <c r="N94" s="3"/>
      <c r="O94" s="3"/>
      <c r="P94" s="3"/>
    </row>
    <row r="95" ht="24.75" customHeight="1">
      <c r="A95" s="46">
        <v>2.0</v>
      </c>
      <c r="B95" s="46" t="s">
        <v>126</v>
      </c>
      <c r="C95" s="46" t="s">
        <v>274</v>
      </c>
      <c r="D95" s="46" t="s">
        <v>186</v>
      </c>
      <c r="E95" s="56" t="s">
        <v>275</v>
      </c>
      <c r="F95" s="56" t="s">
        <v>42</v>
      </c>
      <c r="G95" s="47">
        <v>3.0</v>
      </c>
      <c r="H95" s="13" t="s">
        <v>35</v>
      </c>
      <c r="I95" s="57" t="s">
        <v>276</v>
      </c>
      <c r="J95" s="77">
        <v>46276.0</v>
      </c>
      <c r="K95" s="77">
        <v>46276.0</v>
      </c>
      <c r="L95" s="50">
        <v>3.0</v>
      </c>
      <c r="M95" s="12">
        <f t="shared" si="3"/>
        <v>0</v>
      </c>
      <c r="N95" s="3"/>
      <c r="O95" s="3"/>
      <c r="P95" s="3"/>
    </row>
    <row r="96" ht="24.75" customHeight="1">
      <c r="A96" s="44">
        <v>2.0</v>
      </c>
      <c r="B96" s="44" t="s">
        <v>126</v>
      </c>
      <c r="C96" s="44" t="s">
        <v>188</v>
      </c>
      <c r="D96" s="44" t="s">
        <v>189</v>
      </c>
      <c r="E96" s="58" t="s">
        <v>277</v>
      </c>
      <c r="F96" s="58" t="s">
        <v>42</v>
      </c>
      <c r="G96" s="45">
        <v>3.0</v>
      </c>
      <c r="H96" s="26" t="s">
        <v>179</v>
      </c>
      <c r="I96" s="59" t="s">
        <v>278</v>
      </c>
      <c r="J96" s="78">
        <v>46276.0</v>
      </c>
      <c r="K96" s="78">
        <v>46276.0</v>
      </c>
      <c r="L96" s="79">
        <v>4.0</v>
      </c>
      <c r="M96" s="54">
        <f t="shared" si="3"/>
        <v>1</v>
      </c>
      <c r="N96" s="3"/>
      <c r="O96" s="3"/>
      <c r="P96" s="3"/>
    </row>
    <row r="97" ht="24.75" customHeight="1">
      <c r="A97" s="46">
        <v>2.0</v>
      </c>
      <c r="B97" s="46" t="s">
        <v>126</v>
      </c>
      <c r="C97" s="46" t="s">
        <v>191</v>
      </c>
      <c r="D97" s="46" t="s">
        <v>192</v>
      </c>
      <c r="E97" s="56" t="s">
        <v>279</v>
      </c>
      <c r="F97" s="56" t="s">
        <v>42</v>
      </c>
      <c r="G97" s="47">
        <v>3.0</v>
      </c>
      <c r="H97" s="13" t="s">
        <v>35</v>
      </c>
      <c r="I97" s="57" t="s">
        <v>280</v>
      </c>
      <c r="J97" s="77">
        <v>46276.0</v>
      </c>
      <c r="K97" s="77">
        <v>46276.0</v>
      </c>
      <c r="L97" s="80">
        <v>4.0</v>
      </c>
      <c r="M97" s="12">
        <f t="shared" si="3"/>
        <v>1</v>
      </c>
      <c r="N97" s="3"/>
      <c r="O97" s="3"/>
      <c r="P97" s="3"/>
    </row>
    <row r="98" ht="24.75" customHeight="1">
      <c r="A98" s="44">
        <v>2.0</v>
      </c>
      <c r="B98" s="44" t="s">
        <v>126</v>
      </c>
      <c r="C98" s="44" t="s">
        <v>194</v>
      </c>
      <c r="D98" s="44" t="s">
        <v>195</v>
      </c>
      <c r="E98" s="58" t="s">
        <v>281</v>
      </c>
      <c r="F98" s="58" t="s">
        <v>76</v>
      </c>
      <c r="G98" s="45">
        <v>3.0</v>
      </c>
      <c r="H98" s="26" t="s">
        <v>179</v>
      </c>
      <c r="I98" s="59" t="s">
        <v>282</v>
      </c>
      <c r="J98" s="78">
        <v>46276.0</v>
      </c>
      <c r="K98" s="78">
        <v>46277.0</v>
      </c>
      <c r="L98" s="79">
        <v>3.0</v>
      </c>
      <c r="M98" s="54">
        <f t="shared" si="3"/>
        <v>0</v>
      </c>
      <c r="N98" s="3"/>
      <c r="O98" s="3"/>
      <c r="P98" s="3"/>
    </row>
    <row r="99" ht="24.75" customHeight="1">
      <c r="A99" s="46">
        <v>2.0</v>
      </c>
      <c r="B99" s="46" t="s">
        <v>126</v>
      </c>
      <c r="C99" s="46" t="s">
        <v>197</v>
      </c>
      <c r="D99" s="46" t="s">
        <v>198</v>
      </c>
      <c r="E99" s="81" t="s">
        <v>283</v>
      </c>
      <c r="F99" s="56" t="s">
        <v>76</v>
      </c>
      <c r="G99" s="47">
        <v>3.0</v>
      </c>
      <c r="H99" s="13" t="s">
        <v>35</v>
      </c>
      <c r="I99" s="57" t="s">
        <v>284</v>
      </c>
      <c r="J99" s="77">
        <v>46276.0</v>
      </c>
      <c r="K99" s="77">
        <v>46277.0</v>
      </c>
      <c r="L99" s="80">
        <v>3.0</v>
      </c>
      <c r="M99" s="12">
        <f t="shared" si="3"/>
        <v>0</v>
      </c>
      <c r="N99" s="3"/>
      <c r="O99" s="3"/>
      <c r="P99" s="3"/>
    </row>
    <row r="100" ht="24.75" customHeight="1">
      <c r="A100" s="44">
        <v>2.0</v>
      </c>
      <c r="B100" s="44" t="s">
        <v>126</v>
      </c>
      <c r="C100" s="44" t="s">
        <v>200</v>
      </c>
      <c r="D100" s="44" t="s">
        <v>201</v>
      </c>
      <c r="E100" s="58" t="s">
        <v>285</v>
      </c>
      <c r="F100" s="58" t="s">
        <v>76</v>
      </c>
      <c r="G100" s="45">
        <v>3.0</v>
      </c>
      <c r="H100" s="26" t="s">
        <v>179</v>
      </c>
      <c r="I100" s="59" t="s">
        <v>286</v>
      </c>
      <c r="J100" s="78">
        <v>46276.0</v>
      </c>
      <c r="K100" s="78">
        <v>46277.0</v>
      </c>
      <c r="L100" s="79">
        <v>3.0</v>
      </c>
      <c r="M100" s="54">
        <f t="shared" si="3"/>
        <v>0</v>
      </c>
      <c r="N100" s="3"/>
      <c r="O100" s="3"/>
      <c r="P100" s="3"/>
    </row>
    <row r="101" ht="24.75" customHeight="1">
      <c r="A101" s="46">
        <v>2.0</v>
      </c>
      <c r="B101" s="46" t="s">
        <v>126</v>
      </c>
      <c r="C101" s="46" t="s">
        <v>203</v>
      </c>
      <c r="D101" s="46" t="s">
        <v>204</v>
      </c>
      <c r="E101" s="56" t="s">
        <v>287</v>
      </c>
      <c r="F101" s="56" t="s">
        <v>76</v>
      </c>
      <c r="G101" s="47">
        <v>3.0</v>
      </c>
      <c r="H101" s="13" t="s">
        <v>35</v>
      </c>
      <c r="I101" s="57" t="s">
        <v>288</v>
      </c>
      <c r="J101" s="77">
        <v>46276.0</v>
      </c>
      <c r="K101" s="77">
        <v>46277.0</v>
      </c>
      <c r="L101" s="80">
        <v>3.0</v>
      </c>
      <c r="M101" s="12">
        <f t="shared" si="3"/>
        <v>0</v>
      </c>
      <c r="N101" s="3"/>
      <c r="O101" s="3"/>
      <c r="P101" s="3"/>
    </row>
    <row r="102" ht="24.75" customHeight="1">
      <c r="A102" s="44">
        <v>2.0</v>
      </c>
      <c r="B102" s="44" t="s">
        <v>126</v>
      </c>
      <c r="C102" s="44" t="s">
        <v>206</v>
      </c>
      <c r="D102" s="44" t="s">
        <v>207</v>
      </c>
      <c r="E102" s="58" t="s">
        <v>289</v>
      </c>
      <c r="F102" s="58" t="s">
        <v>90</v>
      </c>
      <c r="G102" s="45">
        <v>3.0</v>
      </c>
      <c r="H102" s="26" t="s">
        <v>179</v>
      </c>
      <c r="I102" s="59" t="s">
        <v>290</v>
      </c>
      <c r="J102" s="78">
        <v>46276.0</v>
      </c>
      <c r="K102" s="78">
        <v>46276.0</v>
      </c>
      <c r="L102" s="79">
        <v>3.0</v>
      </c>
      <c r="M102" s="54">
        <f t="shared" si="3"/>
        <v>0</v>
      </c>
      <c r="N102" s="3"/>
      <c r="O102" s="3"/>
      <c r="P102" s="3"/>
    </row>
    <row r="103" ht="24.75" customHeight="1">
      <c r="A103" s="46">
        <v>2.0</v>
      </c>
      <c r="B103" s="46" t="s">
        <v>126</v>
      </c>
      <c r="C103" s="46" t="s">
        <v>258</v>
      </c>
      <c r="D103" s="46" t="s">
        <v>259</v>
      </c>
      <c r="E103" s="56" t="s">
        <v>291</v>
      </c>
      <c r="F103" s="56" t="s">
        <v>90</v>
      </c>
      <c r="G103" s="47">
        <v>3.0</v>
      </c>
      <c r="H103" s="13" t="s">
        <v>35</v>
      </c>
      <c r="I103" s="57" t="s">
        <v>292</v>
      </c>
      <c r="J103" s="77">
        <v>46276.0</v>
      </c>
      <c r="K103" s="77">
        <v>46276.0</v>
      </c>
      <c r="L103" s="80">
        <v>4.0</v>
      </c>
      <c r="M103" s="12">
        <f t="shared" si="3"/>
        <v>1</v>
      </c>
      <c r="N103" s="3"/>
      <c r="O103" s="3"/>
      <c r="P103" s="3"/>
    </row>
    <row r="104" ht="24.75" customHeight="1">
      <c r="A104" s="44">
        <v>2.0</v>
      </c>
      <c r="B104" s="44" t="s">
        <v>126</v>
      </c>
      <c r="C104" s="58" t="s">
        <v>261</v>
      </c>
      <c r="D104" s="58" t="s">
        <v>259</v>
      </c>
      <c r="E104" s="58" t="s">
        <v>293</v>
      </c>
      <c r="F104" s="58" t="s">
        <v>90</v>
      </c>
      <c r="G104" s="45">
        <v>3.0</v>
      </c>
      <c r="H104" s="26" t="s">
        <v>179</v>
      </c>
      <c r="I104" s="59" t="s">
        <v>294</v>
      </c>
      <c r="J104" s="78">
        <v>46276.0</v>
      </c>
      <c r="K104" s="78">
        <v>46276.0</v>
      </c>
      <c r="L104" s="79">
        <v>4.0</v>
      </c>
      <c r="M104" s="54">
        <f t="shared" si="3"/>
        <v>1</v>
      </c>
      <c r="N104" s="3"/>
      <c r="O104" s="3"/>
      <c r="P104" s="3"/>
      <c r="Q104" s="82" t="s">
        <v>295</v>
      </c>
    </row>
    <row r="105" ht="24.75" customHeight="1">
      <c r="A105" s="46">
        <v>2.0</v>
      </c>
      <c r="B105" s="46" t="s">
        <v>126</v>
      </c>
      <c r="C105" s="46" t="s">
        <v>262</v>
      </c>
      <c r="D105" s="46" t="s">
        <v>263</v>
      </c>
      <c r="E105" s="56" t="s">
        <v>296</v>
      </c>
      <c r="F105" s="56" t="s">
        <v>76</v>
      </c>
      <c r="G105" s="47">
        <v>3.0</v>
      </c>
      <c r="H105" s="13" t="s">
        <v>35</v>
      </c>
      <c r="I105" s="83" t="s">
        <v>297</v>
      </c>
      <c r="J105" s="77">
        <v>46276.0</v>
      </c>
      <c r="K105" s="77">
        <v>46276.0</v>
      </c>
      <c r="L105" s="80">
        <v>3.0</v>
      </c>
      <c r="M105" s="12">
        <f t="shared" si="3"/>
        <v>0</v>
      </c>
      <c r="N105" s="3"/>
      <c r="O105" s="3"/>
      <c r="P105" s="3"/>
    </row>
    <row r="106" ht="24.75" customHeight="1">
      <c r="A106" s="44">
        <v>2.0</v>
      </c>
      <c r="B106" s="44" t="s">
        <v>126</v>
      </c>
      <c r="C106" s="44" t="s">
        <v>221</v>
      </c>
      <c r="D106" s="44" t="s">
        <v>222</v>
      </c>
      <c r="E106" s="58" t="s">
        <v>298</v>
      </c>
      <c r="F106" s="58" t="s">
        <v>299</v>
      </c>
      <c r="G106" s="45">
        <v>3.0</v>
      </c>
      <c r="H106" s="26" t="s">
        <v>179</v>
      </c>
      <c r="I106" s="59" t="s">
        <v>300</v>
      </c>
      <c r="J106" s="78">
        <v>46276.0</v>
      </c>
      <c r="K106" s="78">
        <v>46277.0</v>
      </c>
      <c r="L106" s="79">
        <v>3.0</v>
      </c>
      <c r="M106" s="54">
        <f t="shared" si="3"/>
        <v>0</v>
      </c>
      <c r="N106" s="3"/>
      <c r="O106" s="3"/>
      <c r="P106" s="3"/>
    </row>
    <row r="107" ht="24.75" customHeight="1">
      <c r="A107" s="46">
        <v>2.0</v>
      </c>
      <c r="B107" s="46" t="s">
        <v>126</v>
      </c>
      <c r="C107" s="46" t="s">
        <v>224</v>
      </c>
      <c r="D107" s="46" t="s">
        <v>225</v>
      </c>
      <c r="E107" s="56" t="s">
        <v>301</v>
      </c>
      <c r="F107" s="56" t="s">
        <v>299</v>
      </c>
      <c r="G107" s="47">
        <v>3.0</v>
      </c>
      <c r="H107" s="13" t="s">
        <v>35</v>
      </c>
      <c r="I107" s="57" t="s">
        <v>302</v>
      </c>
      <c r="J107" s="77">
        <v>46276.0</v>
      </c>
      <c r="K107" s="77">
        <v>46277.0</v>
      </c>
      <c r="L107" s="80">
        <v>3.0</v>
      </c>
      <c r="M107" s="12">
        <f t="shared" si="3"/>
        <v>0</v>
      </c>
      <c r="N107" s="3"/>
      <c r="O107" s="3"/>
      <c r="P107" s="3"/>
    </row>
    <row r="108" ht="24.75" customHeight="1">
      <c r="A108" s="44">
        <v>2.0</v>
      </c>
      <c r="B108" s="44" t="s">
        <v>126</v>
      </c>
      <c r="C108" s="44" t="s">
        <v>227</v>
      </c>
      <c r="D108" s="44" t="s">
        <v>228</v>
      </c>
      <c r="E108" s="58" t="s">
        <v>303</v>
      </c>
      <c r="F108" s="58" t="s">
        <v>299</v>
      </c>
      <c r="G108" s="45">
        <v>3.0</v>
      </c>
      <c r="H108" s="26" t="s">
        <v>179</v>
      </c>
      <c r="I108" s="59" t="s">
        <v>304</v>
      </c>
      <c r="J108" s="78">
        <v>46276.0</v>
      </c>
      <c r="K108" s="78">
        <v>46277.0</v>
      </c>
      <c r="L108" s="79">
        <v>3.0</v>
      </c>
      <c r="M108" s="54">
        <f t="shared" si="3"/>
        <v>0</v>
      </c>
      <c r="N108" s="3"/>
      <c r="O108" s="3"/>
      <c r="P108" s="3"/>
    </row>
    <row r="109" ht="24.75" customHeight="1">
      <c r="A109" s="46">
        <v>2.0</v>
      </c>
      <c r="B109" s="46" t="s">
        <v>126</v>
      </c>
      <c r="C109" s="46" t="s">
        <v>230</v>
      </c>
      <c r="D109" s="46" t="s">
        <v>231</v>
      </c>
      <c r="E109" s="56" t="s">
        <v>305</v>
      </c>
      <c r="F109" s="56" t="s">
        <v>39</v>
      </c>
      <c r="G109" s="47">
        <v>3.0</v>
      </c>
      <c r="H109" s="13" t="s">
        <v>35</v>
      </c>
      <c r="I109" s="57" t="s">
        <v>306</v>
      </c>
      <c r="J109" s="77">
        <v>46276.0</v>
      </c>
      <c r="K109" s="77">
        <v>46277.0</v>
      </c>
      <c r="L109" s="80">
        <v>2.0</v>
      </c>
      <c r="M109" s="12">
        <f t="shared" si="3"/>
        <v>-1</v>
      </c>
      <c r="N109" s="3"/>
      <c r="O109" s="3"/>
      <c r="P109" s="3"/>
    </row>
    <row r="110" ht="24.75" customHeight="1">
      <c r="A110" s="44">
        <v>2.0</v>
      </c>
      <c r="B110" s="44" t="s">
        <v>126</v>
      </c>
      <c r="C110" s="44" t="s">
        <v>233</v>
      </c>
      <c r="D110" s="44" t="s">
        <v>234</v>
      </c>
      <c r="E110" s="58" t="s">
        <v>307</v>
      </c>
      <c r="F110" s="58" t="s">
        <v>39</v>
      </c>
      <c r="G110" s="45">
        <v>3.0</v>
      </c>
      <c r="H110" s="26" t="s">
        <v>179</v>
      </c>
      <c r="I110" s="59" t="s">
        <v>308</v>
      </c>
      <c r="J110" s="78">
        <v>46276.0</v>
      </c>
      <c r="K110" s="78">
        <v>46277.0</v>
      </c>
      <c r="L110" s="79">
        <v>3.0</v>
      </c>
      <c r="M110" s="54">
        <f t="shared" si="3"/>
        <v>0</v>
      </c>
      <c r="N110" s="3"/>
      <c r="O110" s="3"/>
      <c r="P110" s="3"/>
    </row>
    <row r="111" ht="24.75" customHeight="1">
      <c r="A111" s="46">
        <v>2.0</v>
      </c>
      <c r="B111" s="46" t="s">
        <v>126</v>
      </c>
      <c r="C111" s="46" t="s">
        <v>236</v>
      </c>
      <c r="D111" s="46" t="s">
        <v>237</v>
      </c>
      <c r="E111" s="56" t="s">
        <v>309</v>
      </c>
      <c r="F111" s="56" t="s">
        <v>39</v>
      </c>
      <c r="G111" s="47">
        <v>3.0</v>
      </c>
      <c r="H111" s="13" t="s">
        <v>35</v>
      </c>
      <c r="I111" s="57" t="s">
        <v>310</v>
      </c>
      <c r="J111" s="77">
        <v>46276.0</v>
      </c>
      <c r="K111" s="77">
        <v>46277.0</v>
      </c>
      <c r="L111" s="80">
        <v>6.0</v>
      </c>
      <c r="M111" s="12">
        <f t="shared" si="3"/>
        <v>3</v>
      </c>
      <c r="N111" s="3"/>
      <c r="O111" s="3"/>
      <c r="P111" s="3"/>
    </row>
    <row r="112" ht="24.75" customHeight="1">
      <c r="A112" s="44">
        <v>2.0</v>
      </c>
      <c r="B112" s="44" t="s">
        <v>126</v>
      </c>
      <c r="C112" s="44" t="s">
        <v>239</v>
      </c>
      <c r="D112" s="44" t="s">
        <v>240</v>
      </c>
      <c r="E112" s="58" t="s">
        <v>311</v>
      </c>
      <c r="F112" s="58" t="s">
        <v>39</v>
      </c>
      <c r="G112" s="45">
        <v>3.0</v>
      </c>
      <c r="H112" s="26" t="s">
        <v>179</v>
      </c>
      <c r="I112" s="59" t="s">
        <v>312</v>
      </c>
      <c r="J112" s="78">
        <v>46276.0</v>
      </c>
      <c r="K112" s="78">
        <v>46277.0</v>
      </c>
      <c r="L112" s="79">
        <v>3.0</v>
      </c>
      <c r="M112" s="54">
        <f t="shared" si="3"/>
        <v>0</v>
      </c>
      <c r="N112" s="3"/>
      <c r="O112" s="3"/>
      <c r="P112" s="3"/>
    </row>
    <row r="113" ht="24.75" customHeight="1">
      <c r="A113" s="46">
        <v>2.0</v>
      </c>
      <c r="B113" s="46" t="s">
        <v>126</v>
      </c>
      <c r="C113" s="46" t="s">
        <v>242</v>
      </c>
      <c r="D113" s="46" t="s">
        <v>243</v>
      </c>
      <c r="E113" s="56" t="s">
        <v>313</v>
      </c>
      <c r="F113" s="56" t="s">
        <v>80</v>
      </c>
      <c r="G113" s="47">
        <v>3.0</v>
      </c>
      <c r="H113" s="13" t="s">
        <v>35</v>
      </c>
      <c r="I113" s="57" t="s">
        <v>314</v>
      </c>
      <c r="J113" s="77">
        <v>46276.0</v>
      </c>
      <c r="K113" s="77">
        <v>46276.0</v>
      </c>
      <c r="L113" s="80">
        <v>3.0</v>
      </c>
      <c r="M113" s="12">
        <f t="shared" si="3"/>
        <v>0</v>
      </c>
      <c r="N113" s="3"/>
      <c r="O113" s="3"/>
      <c r="P113" s="3"/>
    </row>
    <row r="114" ht="24.75" customHeight="1">
      <c r="A114" s="44">
        <v>2.0</v>
      </c>
      <c r="B114" s="44" t="s">
        <v>126</v>
      </c>
      <c r="C114" s="44" t="s">
        <v>209</v>
      </c>
      <c r="D114" s="44" t="s">
        <v>210</v>
      </c>
      <c r="E114" s="58" t="s">
        <v>315</v>
      </c>
      <c r="F114" s="58" t="s">
        <v>80</v>
      </c>
      <c r="G114" s="45">
        <v>3.0</v>
      </c>
      <c r="H114" s="26" t="s">
        <v>179</v>
      </c>
      <c r="I114" s="59" t="s">
        <v>316</v>
      </c>
      <c r="J114" s="78">
        <v>46276.0</v>
      </c>
      <c r="K114" s="78">
        <v>46276.0</v>
      </c>
      <c r="L114" s="79">
        <v>3.0</v>
      </c>
      <c r="M114" s="54">
        <f t="shared" si="3"/>
        <v>0</v>
      </c>
      <c r="N114" s="3"/>
      <c r="O114" s="3"/>
      <c r="P114" s="3"/>
    </row>
    <row r="115" ht="24.75" customHeight="1">
      <c r="A115" s="46">
        <v>2.0</v>
      </c>
      <c r="B115" s="46" t="s">
        <v>126</v>
      </c>
      <c r="C115" s="46" t="s">
        <v>212</v>
      </c>
      <c r="D115" s="46" t="s">
        <v>213</v>
      </c>
      <c r="E115" s="56" t="s">
        <v>317</v>
      </c>
      <c r="F115" s="56" t="s">
        <v>57</v>
      </c>
      <c r="G115" s="47">
        <v>3.0</v>
      </c>
      <c r="H115" s="13" t="s">
        <v>35</v>
      </c>
      <c r="I115" s="57" t="s">
        <v>318</v>
      </c>
      <c r="J115" s="77">
        <v>46276.0</v>
      </c>
      <c r="K115" s="77">
        <v>46276.0</v>
      </c>
      <c r="L115" s="80">
        <v>3.0</v>
      </c>
      <c r="M115" s="12">
        <f t="shared" si="3"/>
        <v>0</v>
      </c>
      <c r="N115" s="3"/>
      <c r="O115" s="3"/>
      <c r="P115" s="3"/>
    </row>
    <row r="116" ht="24.75" customHeight="1">
      <c r="A116" s="44">
        <v>2.0</v>
      </c>
      <c r="B116" s="44" t="s">
        <v>126</v>
      </c>
      <c r="C116" s="44" t="s">
        <v>215</v>
      </c>
      <c r="D116" s="44" t="s">
        <v>216</v>
      </c>
      <c r="E116" s="58" t="s">
        <v>319</v>
      </c>
      <c r="F116" s="58" t="s">
        <v>57</v>
      </c>
      <c r="G116" s="45">
        <v>3.0</v>
      </c>
      <c r="H116" s="26" t="s">
        <v>179</v>
      </c>
      <c r="I116" s="59" t="s">
        <v>320</v>
      </c>
      <c r="J116" s="78">
        <v>46276.0</v>
      </c>
      <c r="K116" s="78">
        <v>46276.0</v>
      </c>
      <c r="L116" s="79">
        <v>3.0</v>
      </c>
      <c r="M116" s="54">
        <f t="shared" si="3"/>
        <v>0</v>
      </c>
      <c r="N116" s="3"/>
      <c r="O116" s="3"/>
      <c r="P116" s="3"/>
    </row>
    <row r="117" ht="24.75" customHeight="1">
      <c r="A117" s="46">
        <v>2.0</v>
      </c>
      <c r="B117" s="46" t="s">
        <v>126</v>
      </c>
      <c r="C117" s="46" t="s">
        <v>218</v>
      </c>
      <c r="D117" s="46" t="s">
        <v>219</v>
      </c>
      <c r="E117" s="56" t="s">
        <v>321</v>
      </c>
      <c r="F117" s="56" t="s">
        <v>57</v>
      </c>
      <c r="G117" s="47">
        <v>3.0</v>
      </c>
      <c r="H117" s="13" t="s">
        <v>35</v>
      </c>
      <c r="I117" s="57" t="s">
        <v>322</v>
      </c>
      <c r="J117" s="77">
        <v>46276.0</v>
      </c>
      <c r="K117" s="77">
        <v>46276.0</v>
      </c>
      <c r="L117" s="80">
        <v>3.0</v>
      </c>
      <c r="M117" s="12">
        <f t="shared" si="3"/>
        <v>0</v>
      </c>
      <c r="N117" s="3"/>
      <c r="O117" s="3"/>
      <c r="P117" s="3"/>
    </row>
    <row r="118" ht="24.75" customHeight="1">
      <c r="A118" s="44">
        <v>2.0</v>
      </c>
      <c r="B118" s="44" t="s">
        <v>126</v>
      </c>
      <c r="C118" s="44" t="s">
        <v>245</v>
      </c>
      <c r="D118" s="44" t="s">
        <v>246</v>
      </c>
      <c r="E118" s="58" t="s">
        <v>323</v>
      </c>
      <c r="F118" s="58" t="s">
        <v>57</v>
      </c>
      <c r="G118" s="45">
        <v>3.0</v>
      </c>
      <c r="H118" s="26" t="s">
        <v>179</v>
      </c>
      <c r="I118" s="59" t="s">
        <v>324</v>
      </c>
      <c r="J118" s="78">
        <v>46276.0</v>
      </c>
      <c r="K118" s="78">
        <v>46276.0</v>
      </c>
      <c r="L118" s="79">
        <v>3.0</v>
      </c>
      <c r="M118" s="54">
        <f t="shared" si="3"/>
        <v>0</v>
      </c>
      <c r="N118" s="3"/>
      <c r="O118" s="3"/>
      <c r="P118" s="3"/>
    </row>
    <row r="119" ht="24.75" customHeight="1">
      <c r="A119" s="46">
        <v>2.0</v>
      </c>
      <c r="B119" s="46" t="s">
        <v>126</v>
      </c>
      <c r="C119" s="46" t="s">
        <v>248</v>
      </c>
      <c r="D119" s="46" t="s">
        <v>249</v>
      </c>
      <c r="E119" s="56" t="s">
        <v>325</v>
      </c>
      <c r="F119" s="56" t="s">
        <v>57</v>
      </c>
      <c r="G119" s="47">
        <v>3.0</v>
      </c>
      <c r="H119" s="13" t="s">
        <v>35</v>
      </c>
      <c r="I119" s="57" t="s">
        <v>326</v>
      </c>
      <c r="J119" s="77">
        <v>46276.0</v>
      </c>
      <c r="K119" s="77">
        <v>46276.0</v>
      </c>
      <c r="L119" s="80">
        <v>3.0</v>
      </c>
      <c r="M119" s="12">
        <f t="shared" si="3"/>
        <v>0</v>
      </c>
      <c r="N119" s="3"/>
      <c r="O119" s="3"/>
      <c r="P119" s="3"/>
    </row>
    <row r="120" ht="24.75" customHeight="1">
      <c r="A120" s="44">
        <v>2.0</v>
      </c>
      <c r="B120" s="44" t="s">
        <v>126</v>
      </c>
      <c r="C120" s="44" t="s">
        <v>251</v>
      </c>
      <c r="D120" s="44" t="s">
        <v>252</v>
      </c>
      <c r="E120" s="58" t="s">
        <v>327</v>
      </c>
      <c r="F120" s="58" t="s">
        <v>299</v>
      </c>
      <c r="G120" s="45">
        <v>3.0</v>
      </c>
      <c r="H120" s="26" t="s">
        <v>179</v>
      </c>
      <c r="I120" s="59" t="s">
        <v>328</v>
      </c>
      <c r="J120" s="78">
        <v>46276.0</v>
      </c>
      <c r="K120" s="78">
        <v>46277.0</v>
      </c>
      <c r="L120" s="79">
        <v>3.0</v>
      </c>
      <c r="M120" s="54">
        <f t="shared" si="3"/>
        <v>0</v>
      </c>
      <c r="N120" s="3"/>
      <c r="O120" s="3"/>
      <c r="P120" s="3"/>
    </row>
    <row r="121" ht="24.75" customHeight="1">
      <c r="A121" s="84"/>
      <c r="B121" s="85"/>
      <c r="C121" s="85"/>
      <c r="D121" s="85"/>
      <c r="E121" s="86"/>
      <c r="F121" s="87"/>
      <c r="G121" s="88">
        <f>SUM(G56:G120)</f>
        <v>177</v>
      </c>
      <c r="H121" s="86"/>
      <c r="I121" s="85"/>
      <c r="J121" s="89"/>
      <c r="K121" s="89"/>
      <c r="L121" s="90">
        <f t="shared" ref="L121:M121" si="4">SUM(L56:L120)</f>
        <v>189</v>
      </c>
      <c r="M121" s="90">
        <f t="shared" si="4"/>
        <v>12</v>
      </c>
      <c r="N121" s="3"/>
      <c r="O121" s="3"/>
      <c r="P121" s="3"/>
    </row>
    <row r="122" ht="24.75" customHeight="1">
      <c r="A122" s="91"/>
      <c r="B122" s="3"/>
      <c r="C122" s="3"/>
      <c r="D122" s="3"/>
      <c r="E122" s="3"/>
      <c r="F122" s="3"/>
      <c r="G122" s="92"/>
      <c r="H122" s="3"/>
      <c r="I122" s="3"/>
      <c r="J122" s="3"/>
      <c r="K122" s="3"/>
      <c r="L122" s="3"/>
      <c r="M122" s="93"/>
      <c r="N122" s="3"/>
      <c r="O122" s="3"/>
      <c r="P122" s="3"/>
    </row>
    <row r="123" ht="24.75" customHeight="1">
      <c r="A123" s="5" t="s">
        <v>17</v>
      </c>
      <c r="B123" s="6"/>
      <c r="C123" s="6"/>
      <c r="D123" s="6"/>
      <c r="E123" s="6"/>
      <c r="F123" s="6"/>
      <c r="G123" s="6"/>
      <c r="H123" s="6"/>
      <c r="I123" s="7"/>
      <c r="J123" s="8" t="s">
        <v>18</v>
      </c>
      <c r="K123" s="6"/>
      <c r="L123" s="6"/>
      <c r="M123" s="7"/>
      <c r="N123" s="3"/>
      <c r="O123" s="3"/>
      <c r="P123" s="3"/>
    </row>
    <row r="124" ht="24.75" customHeight="1">
      <c r="A124" s="94" t="s">
        <v>171</v>
      </c>
      <c r="B124" s="94" t="s">
        <v>20</v>
      </c>
      <c r="C124" s="94" t="s">
        <v>21</v>
      </c>
      <c r="D124" s="94" t="s">
        <v>22</v>
      </c>
      <c r="E124" s="94" t="s">
        <v>23</v>
      </c>
      <c r="F124" s="94" t="s">
        <v>24</v>
      </c>
      <c r="G124" s="95" t="s">
        <v>25</v>
      </c>
      <c r="H124" s="94" t="s">
        <v>26</v>
      </c>
      <c r="I124" s="94" t="s">
        <v>27</v>
      </c>
      <c r="J124" s="94" t="s">
        <v>6</v>
      </c>
      <c r="K124" s="94" t="s">
        <v>28</v>
      </c>
      <c r="L124" s="94" t="s">
        <v>29</v>
      </c>
      <c r="M124" s="95" t="s">
        <v>30</v>
      </c>
      <c r="N124" s="3"/>
      <c r="O124" s="3"/>
      <c r="P124" s="3"/>
    </row>
    <row r="125" ht="30.0" customHeight="1">
      <c r="A125" s="96">
        <v>3.0</v>
      </c>
      <c r="B125" s="96" t="s">
        <v>31</v>
      </c>
      <c r="C125" s="96" t="s">
        <v>32</v>
      </c>
      <c r="D125" s="96" t="s">
        <v>32</v>
      </c>
      <c r="E125" s="97" t="s">
        <v>329</v>
      </c>
      <c r="F125" s="97" t="s">
        <v>34</v>
      </c>
      <c r="G125" s="98">
        <v>4.0</v>
      </c>
      <c r="H125" s="99" t="s">
        <v>35</v>
      </c>
      <c r="I125" s="97" t="s">
        <v>330</v>
      </c>
      <c r="J125" s="100">
        <v>46289.0</v>
      </c>
      <c r="K125" s="100">
        <v>46289.0</v>
      </c>
      <c r="L125" s="101">
        <v>5.0</v>
      </c>
      <c r="M125" s="98">
        <f t="shared" ref="M125:M183" si="5">IF(L125="","",L125-G125)</f>
        <v>1</v>
      </c>
      <c r="N125" s="3"/>
      <c r="O125" s="3"/>
      <c r="P125" s="3"/>
    </row>
    <row r="126" ht="30.0" customHeight="1">
      <c r="A126" s="102">
        <v>3.0</v>
      </c>
      <c r="B126" s="102" t="s">
        <v>331</v>
      </c>
      <c r="C126" s="102" t="s">
        <v>32</v>
      </c>
      <c r="D126" s="102" t="s">
        <v>32</v>
      </c>
      <c r="E126" s="103" t="s">
        <v>332</v>
      </c>
      <c r="F126" s="103" t="s">
        <v>34</v>
      </c>
      <c r="G126" s="104">
        <v>2.0</v>
      </c>
      <c r="H126" s="105" t="s">
        <v>35</v>
      </c>
      <c r="I126" s="103" t="s">
        <v>333</v>
      </c>
      <c r="J126" s="106">
        <v>46289.0</v>
      </c>
      <c r="K126" s="106">
        <v>46289.0</v>
      </c>
      <c r="L126" s="107">
        <v>2.0</v>
      </c>
      <c r="M126" s="104">
        <f t="shared" si="5"/>
        <v>0</v>
      </c>
      <c r="N126" s="3"/>
      <c r="O126" s="3"/>
      <c r="P126" s="3"/>
    </row>
    <row r="127" ht="30.0" customHeight="1">
      <c r="A127" s="96">
        <v>3.0</v>
      </c>
      <c r="B127" s="96" t="s">
        <v>31</v>
      </c>
      <c r="C127" s="96" t="s">
        <v>32</v>
      </c>
      <c r="D127" s="96" t="s">
        <v>32</v>
      </c>
      <c r="E127" s="97" t="s">
        <v>334</v>
      </c>
      <c r="F127" s="97" t="s">
        <v>46</v>
      </c>
      <c r="G127" s="98">
        <v>2.0</v>
      </c>
      <c r="H127" s="99" t="s">
        <v>35</v>
      </c>
      <c r="I127" s="97" t="s">
        <v>335</v>
      </c>
      <c r="J127" s="100">
        <v>46289.0</v>
      </c>
      <c r="K127" s="100">
        <v>46289.0</v>
      </c>
      <c r="L127" s="101">
        <v>1.0</v>
      </c>
      <c r="M127" s="98">
        <f t="shared" si="5"/>
        <v>-1</v>
      </c>
      <c r="N127" s="3"/>
      <c r="O127" s="3"/>
      <c r="P127" s="3"/>
    </row>
    <row r="128" ht="30.0" customHeight="1">
      <c r="A128" s="102">
        <v>3.0</v>
      </c>
      <c r="B128" s="102" t="s">
        <v>37</v>
      </c>
      <c r="C128" s="102" t="s">
        <v>32</v>
      </c>
      <c r="D128" s="102" t="s">
        <v>32</v>
      </c>
      <c r="E128" s="103" t="s">
        <v>336</v>
      </c>
      <c r="F128" s="103" t="s">
        <v>175</v>
      </c>
      <c r="G128" s="104">
        <v>4.0</v>
      </c>
      <c r="H128" s="105" t="s">
        <v>35</v>
      </c>
      <c r="I128" s="103" t="s">
        <v>337</v>
      </c>
      <c r="J128" s="106">
        <v>46289.0</v>
      </c>
      <c r="K128" s="106">
        <v>46290.0</v>
      </c>
      <c r="L128" s="107">
        <v>5.0</v>
      </c>
      <c r="M128" s="104">
        <f t="shared" si="5"/>
        <v>1</v>
      </c>
      <c r="N128" s="3"/>
      <c r="O128" s="3"/>
      <c r="P128" s="3"/>
    </row>
    <row r="129" ht="30.0" customHeight="1">
      <c r="A129" s="96">
        <v>3.0</v>
      </c>
      <c r="B129" s="96" t="s">
        <v>53</v>
      </c>
      <c r="C129" s="96" t="s">
        <v>338</v>
      </c>
      <c r="D129" s="96" t="s">
        <v>339</v>
      </c>
      <c r="E129" s="97" t="s">
        <v>56</v>
      </c>
      <c r="F129" s="97" t="s">
        <v>76</v>
      </c>
      <c r="G129" s="98">
        <v>2.0</v>
      </c>
      <c r="H129" s="99" t="s">
        <v>35</v>
      </c>
      <c r="I129" s="97" t="s">
        <v>340</v>
      </c>
      <c r="J129" s="100">
        <v>46290.0</v>
      </c>
      <c r="K129" s="100">
        <v>46290.0</v>
      </c>
      <c r="L129" s="101">
        <v>2.0</v>
      </c>
      <c r="M129" s="98">
        <f t="shared" si="5"/>
        <v>0</v>
      </c>
      <c r="N129" s="3"/>
      <c r="O129" s="3"/>
      <c r="P129" s="3"/>
    </row>
    <row r="130" ht="30.0" customHeight="1">
      <c r="A130" s="102">
        <v>3.0</v>
      </c>
      <c r="B130" s="102" t="s">
        <v>53</v>
      </c>
      <c r="C130" s="102" t="s">
        <v>341</v>
      </c>
      <c r="D130" s="102" t="s">
        <v>342</v>
      </c>
      <c r="E130" s="103" t="s">
        <v>56</v>
      </c>
      <c r="F130" s="103" t="s">
        <v>39</v>
      </c>
      <c r="G130" s="104">
        <v>2.0</v>
      </c>
      <c r="H130" s="105" t="s">
        <v>35</v>
      </c>
      <c r="I130" s="103" t="s">
        <v>343</v>
      </c>
      <c r="J130" s="106">
        <v>46291.0</v>
      </c>
      <c r="K130" s="106">
        <v>46291.0</v>
      </c>
      <c r="L130" s="107">
        <v>2.0</v>
      </c>
      <c r="M130" s="104">
        <f t="shared" si="5"/>
        <v>0</v>
      </c>
      <c r="N130" s="3"/>
      <c r="O130" s="3"/>
      <c r="P130" s="3"/>
    </row>
    <row r="131" ht="30.0" customHeight="1">
      <c r="A131" s="96">
        <v>3.0</v>
      </c>
      <c r="B131" s="96" t="s">
        <v>53</v>
      </c>
      <c r="C131" s="96" t="s">
        <v>344</v>
      </c>
      <c r="D131" s="96" t="s">
        <v>345</v>
      </c>
      <c r="E131" s="97" t="s">
        <v>56</v>
      </c>
      <c r="F131" s="97" t="s">
        <v>39</v>
      </c>
      <c r="G131" s="98">
        <v>2.0</v>
      </c>
      <c r="H131" s="99" t="s">
        <v>35</v>
      </c>
      <c r="I131" s="97" t="s">
        <v>346</v>
      </c>
      <c r="J131" s="100">
        <v>46292.0</v>
      </c>
      <c r="K131" s="100">
        <v>46292.0</v>
      </c>
      <c r="L131" s="101">
        <v>3.0</v>
      </c>
      <c r="M131" s="98">
        <f t="shared" si="5"/>
        <v>1</v>
      </c>
      <c r="N131" s="3"/>
      <c r="O131" s="3"/>
      <c r="P131" s="3"/>
    </row>
    <row r="132" ht="30.0" customHeight="1">
      <c r="A132" s="102">
        <v>3.0</v>
      </c>
      <c r="B132" s="102" t="s">
        <v>53</v>
      </c>
      <c r="C132" s="102" t="s">
        <v>347</v>
      </c>
      <c r="D132" s="102" t="s">
        <v>348</v>
      </c>
      <c r="E132" s="103" t="s">
        <v>56</v>
      </c>
      <c r="F132" s="103" t="s">
        <v>57</v>
      </c>
      <c r="G132" s="104">
        <v>2.0</v>
      </c>
      <c r="H132" s="105" t="s">
        <v>35</v>
      </c>
      <c r="I132" s="103" t="s">
        <v>349</v>
      </c>
      <c r="J132" s="106">
        <v>46290.0</v>
      </c>
      <c r="K132" s="106">
        <v>46290.0</v>
      </c>
      <c r="L132" s="107">
        <v>2.0</v>
      </c>
      <c r="M132" s="104">
        <f t="shared" si="5"/>
        <v>0</v>
      </c>
      <c r="N132" s="3"/>
      <c r="O132" s="3"/>
      <c r="P132" s="3"/>
    </row>
    <row r="133" ht="30.0" customHeight="1">
      <c r="A133" s="96">
        <v>3.0</v>
      </c>
      <c r="B133" s="108" t="s">
        <v>53</v>
      </c>
      <c r="C133" s="108" t="s">
        <v>350</v>
      </c>
      <c r="D133" s="108" t="s">
        <v>351</v>
      </c>
      <c r="E133" s="97" t="s">
        <v>56</v>
      </c>
      <c r="F133" s="109" t="s">
        <v>57</v>
      </c>
      <c r="G133" s="98">
        <v>2.0</v>
      </c>
      <c r="H133" s="99" t="s">
        <v>35</v>
      </c>
      <c r="I133" s="109" t="s">
        <v>352</v>
      </c>
      <c r="J133" s="110">
        <v>46291.0</v>
      </c>
      <c r="K133" s="110">
        <v>46291.0</v>
      </c>
      <c r="L133" s="111">
        <v>2.0</v>
      </c>
      <c r="M133" s="112">
        <f t="shared" si="5"/>
        <v>0</v>
      </c>
      <c r="N133" s="3"/>
      <c r="O133" s="3"/>
      <c r="P133" s="3"/>
    </row>
    <row r="134" ht="30.0" customHeight="1">
      <c r="A134" s="102">
        <v>3.0</v>
      </c>
      <c r="B134" s="102" t="s">
        <v>53</v>
      </c>
      <c r="C134" s="102" t="s">
        <v>353</v>
      </c>
      <c r="D134" s="102" t="s">
        <v>354</v>
      </c>
      <c r="E134" s="103" t="s">
        <v>56</v>
      </c>
      <c r="F134" s="103" t="s">
        <v>80</v>
      </c>
      <c r="G134" s="104">
        <v>2.0</v>
      </c>
      <c r="H134" s="105" t="s">
        <v>35</v>
      </c>
      <c r="I134" s="103" t="s">
        <v>355</v>
      </c>
      <c r="J134" s="106">
        <v>46292.0</v>
      </c>
      <c r="K134" s="106">
        <v>46292.0</v>
      </c>
      <c r="L134" s="107">
        <v>3.0</v>
      </c>
      <c r="M134" s="104">
        <f t="shared" si="5"/>
        <v>1</v>
      </c>
      <c r="N134" s="3"/>
      <c r="O134" s="3"/>
      <c r="P134" s="3"/>
    </row>
    <row r="135" ht="30.0" customHeight="1">
      <c r="A135" s="96">
        <v>3.0</v>
      </c>
      <c r="B135" s="96" t="s">
        <v>53</v>
      </c>
      <c r="C135" s="96" t="s">
        <v>356</v>
      </c>
      <c r="D135" s="96" t="s">
        <v>357</v>
      </c>
      <c r="E135" s="97" t="s">
        <v>56</v>
      </c>
      <c r="F135" s="97" t="s">
        <v>57</v>
      </c>
      <c r="G135" s="98">
        <v>2.0</v>
      </c>
      <c r="H135" s="99" t="s">
        <v>35</v>
      </c>
      <c r="I135" s="97" t="s">
        <v>358</v>
      </c>
      <c r="J135" s="100">
        <v>46290.0</v>
      </c>
      <c r="K135" s="100">
        <v>46290.0</v>
      </c>
      <c r="L135" s="101">
        <v>2.0</v>
      </c>
      <c r="M135" s="98">
        <f t="shared" si="5"/>
        <v>0</v>
      </c>
      <c r="N135" s="3"/>
      <c r="O135" s="3"/>
      <c r="P135" s="3"/>
    </row>
    <row r="136" ht="30.0" customHeight="1">
      <c r="A136" s="102">
        <v>3.0</v>
      </c>
      <c r="B136" s="102" t="s">
        <v>53</v>
      </c>
      <c r="C136" s="102" t="s">
        <v>359</v>
      </c>
      <c r="D136" s="102" t="s">
        <v>360</v>
      </c>
      <c r="E136" s="103" t="s">
        <v>56</v>
      </c>
      <c r="F136" s="103" t="s">
        <v>42</v>
      </c>
      <c r="G136" s="104">
        <v>2.0</v>
      </c>
      <c r="H136" s="105" t="s">
        <v>35</v>
      </c>
      <c r="I136" s="103" t="s">
        <v>361</v>
      </c>
      <c r="J136" s="106">
        <v>46291.0</v>
      </c>
      <c r="K136" s="106">
        <v>46291.0</v>
      </c>
      <c r="L136" s="107">
        <v>2.0</v>
      </c>
      <c r="M136" s="104">
        <f t="shared" si="5"/>
        <v>0</v>
      </c>
      <c r="N136" s="3"/>
      <c r="O136" s="3"/>
      <c r="P136" s="3"/>
    </row>
    <row r="137" ht="30.0" customHeight="1">
      <c r="A137" s="96">
        <v>3.0</v>
      </c>
      <c r="B137" s="96" t="s">
        <v>53</v>
      </c>
      <c r="C137" s="96" t="s">
        <v>362</v>
      </c>
      <c r="D137" s="96" t="s">
        <v>363</v>
      </c>
      <c r="E137" s="97" t="s">
        <v>56</v>
      </c>
      <c r="F137" s="97" t="s">
        <v>42</v>
      </c>
      <c r="G137" s="98">
        <v>2.0</v>
      </c>
      <c r="H137" s="99" t="s">
        <v>35</v>
      </c>
      <c r="I137" s="97" t="s">
        <v>364</v>
      </c>
      <c r="J137" s="100">
        <v>46292.0</v>
      </c>
      <c r="K137" s="100">
        <v>46292.0</v>
      </c>
      <c r="L137" s="101">
        <v>1.0</v>
      </c>
      <c r="M137" s="98">
        <f t="shared" si="5"/>
        <v>-1</v>
      </c>
      <c r="N137" s="3"/>
      <c r="O137" s="3"/>
      <c r="P137" s="3"/>
    </row>
    <row r="138" ht="30.0" customHeight="1">
      <c r="A138" s="102">
        <v>3.0</v>
      </c>
      <c r="B138" s="102" t="s">
        <v>53</v>
      </c>
      <c r="C138" s="102" t="s">
        <v>365</v>
      </c>
      <c r="D138" s="102" t="s">
        <v>366</v>
      </c>
      <c r="E138" s="103" t="s">
        <v>56</v>
      </c>
      <c r="F138" s="103" t="s">
        <v>80</v>
      </c>
      <c r="G138" s="104">
        <v>2.0</v>
      </c>
      <c r="H138" s="105" t="s">
        <v>35</v>
      </c>
      <c r="I138" s="103" t="s">
        <v>367</v>
      </c>
      <c r="J138" s="106">
        <v>46290.0</v>
      </c>
      <c r="K138" s="106">
        <v>46290.0</v>
      </c>
      <c r="L138" s="107">
        <v>3.0</v>
      </c>
      <c r="M138" s="104">
        <f t="shared" si="5"/>
        <v>1</v>
      </c>
      <c r="N138" s="3"/>
      <c r="O138" s="3"/>
      <c r="P138" s="3"/>
    </row>
    <row r="139" ht="30.0" customHeight="1">
      <c r="A139" s="96">
        <v>3.0</v>
      </c>
      <c r="B139" s="96" t="s">
        <v>53</v>
      </c>
      <c r="C139" s="96" t="s">
        <v>368</v>
      </c>
      <c r="D139" s="96" t="s">
        <v>369</v>
      </c>
      <c r="E139" s="97" t="s">
        <v>56</v>
      </c>
      <c r="F139" s="97" t="s">
        <v>39</v>
      </c>
      <c r="G139" s="98">
        <v>2.0</v>
      </c>
      <c r="H139" s="99" t="s">
        <v>35</v>
      </c>
      <c r="I139" s="97" t="s">
        <v>370</v>
      </c>
      <c r="J139" s="100">
        <v>46291.0</v>
      </c>
      <c r="K139" s="100">
        <v>46291.0</v>
      </c>
      <c r="L139" s="101">
        <v>2.0</v>
      </c>
      <c r="M139" s="98">
        <f t="shared" si="5"/>
        <v>0</v>
      </c>
      <c r="N139" s="3"/>
      <c r="O139" s="3"/>
      <c r="P139" s="3"/>
    </row>
    <row r="140" ht="30.0" customHeight="1">
      <c r="A140" s="102">
        <v>3.0</v>
      </c>
      <c r="B140" s="102" t="s">
        <v>53</v>
      </c>
      <c r="C140" s="102" t="s">
        <v>371</v>
      </c>
      <c r="D140" s="102" t="s">
        <v>372</v>
      </c>
      <c r="E140" s="103" t="s">
        <v>56</v>
      </c>
      <c r="F140" s="103" t="s">
        <v>42</v>
      </c>
      <c r="G140" s="104">
        <v>2.0</v>
      </c>
      <c r="H140" s="105" t="s">
        <v>35</v>
      </c>
      <c r="I140" s="103" t="s">
        <v>373</v>
      </c>
      <c r="J140" s="106">
        <v>46292.0</v>
      </c>
      <c r="K140" s="106">
        <v>46292.0</v>
      </c>
      <c r="L140" s="107">
        <v>3.0</v>
      </c>
      <c r="M140" s="104">
        <f t="shared" si="5"/>
        <v>1</v>
      </c>
      <c r="N140" s="3"/>
      <c r="O140" s="3"/>
      <c r="P140" s="3"/>
    </row>
    <row r="141" ht="30.0" customHeight="1">
      <c r="A141" s="96">
        <v>3.0</v>
      </c>
      <c r="B141" s="96" t="s">
        <v>53</v>
      </c>
      <c r="C141" s="96" t="s">
        <v>374</v>
      </c>
      <c r="D141" s="96" t="s">
        <v>375</v>
      </c>
      <c r="E141" s="97" t="s">
        <v>56</v>
      </c>
      <c r="F141" s="97" t="s">
        <v>76</v>
      </c>
      <c r="G141" s="98">
        <v>2.0</v>
      </c>
      <c r="H141" s="99" t="s">
        <v>35</v>
      </c>
      <c r="I141" s="97" t="s">
        <v>376</v>
      </c>
      <c r="J141" s="100">
        <v>46290.0</v>
      </c>
      <c r="K141" s="100">
        <v>46290.0</v>
      </c>
      <c r="L141" s="101">
        <v>2.0</v>
      </c>
      <c r="M141" s="98">
        <f t="shared" si="5"/>
        <v>0</v>
      </c>
      <c r="N141" s="3"/>
      <c r="O141" s="3"/>
      <c r="P141" s="3"/>
    </row>
    <row r="142" ht="30.0" customHeight="1">
      <c r="A142" s="102">
        <v>3.0</v>
      </c>
      <c r="B142" s="102" t="s">
        <v>53</v>
      </c>
      <c r="C142" s="102" t="s">
        <v>377</v>
      </c>
      <c r="D142" s="102" t="s">
        <v>378</v>
      </c>
      <c r="E142" s="103" t="s">
        <v>56</v>
      </c>
      <c r="F142" s="103" t="s">
        <v>46</v>
      </c>
      <c r="G142" s="104">
        <v>2.0</v>
      </c>
      <c r="H142" s="105" t="s">
        <v>35</v>
      </c>
      <c r="I142" s="103" t="s">
        <v>379</v>
      </c>
      <c r="J142" s="105" t="s">
        <v>380</v>
      </c>
      <c r="K142" s="105" t="s">
        <v>381</v>
      </c>
      <c r="L142" s="107">
        <v>1.0</v>
      </c>
      <c r="M142" s="104">
        <f t="shared" si="5"/>
        <v>-1</v>
      </c>
      <c r="N142" s="3"/>
      <c r="O142" s="3"/>
      <c r="P142" s="3"/>
    </row>
    <row r="143" ht="30.0" customHeight="1">
      <c r="A143" s="96">
        <v>3.0</v>
      </c>
      <c r="B143" s="96" t="s">
        <v>53</v>
      </c>
      <c r="C143" s="96" t="s">
        <v>382</v>
      </c>
      <c r="D143" s="96" t="s">
        <v>383</v>
      </c>
      <c r="E143" s="97" t="s">
        <v>56</v>
      </c>
      <c r="F143" s="97" t="s">
        <v>46</v>
      </c>
      <c r="G143" s="98">
        <v>2.0</v>
      </c>
      <c r="H143" s="99" t="s">
        <v>35</v>
      </c>
      <c r="I143" s="97" t="s">
        <v>384</v>
      </c>
      <c r="J143" s="105" t="s">
        <v>380</v>
      </c>
      <c r="K143" s="105" t="s">
        <v>381</v>
      </c>
      <c r="L143" s="101">
        <v>1.0</v>
      </c>
      <c r="M143" s="98">
        <f t="shared" si="5"/>
        <v>-1</v>
      </c>
      <c r="N143" s="3"/>
      <c r="O143" s="3"/>
      <c r="P143" s="3"/>
    </row>
    <row r="144" ht="30.0" customHeight="1">
      <c r="A144" s="102">
        <v>3.0</v>
      </c>
      <c r="B144" s="102" t="s">
        <v>53</v>
      </c>
      <c r="C144" s="102" t="s">
        <v>385</v>
      </c>
      <c r="D144" s="102" t="s">
        <v>386</v>
      </c>
      <c r="E144" s="103" t="s">
        <v>56</v>
      </c>
      <c r="F144" s="103" t="s">
        <v>90</v>
      </c>
      <c r="G144" s="104">
        <v>2.0</v>
      </c>
      <c r="H144" s="105" t="s">
        <v>35</v>
      </c>
      <c r="I144" s="103" t="s">
        <v>387</v>
      </c>
      <c r="J144" s="106">
        <v>46290.0</v>
      </c>
      <c r="K144" s="106">
        <v>46290.0</v>
      </c>
      <c r="L144" s="107">
        <v>2.0</v>
      </c>
      <c r="M144" s="104">
        <f t="shared" si="5"/>
        <v>0</v>
      </c>
      <c r="N144" s="3"/>
      <c r="O144" s="3"/>
      <c r="P144" s="3"/>
    </row>
    <row r="145" ht="30.0" customHeight="1">
      <c r="A145" s="96">
        <v>3.0</v>
      </c>
      <c r="B145" s="96" t="s">
        <v>53</v>
      </c>
      <c r="C145" s="96" t="s">
        <v>388</v>
      </c>
      <c r="D145" s="96" t="s">
        <v>389</v>
      </c>
      <c r="E145" s="97" t="s">
        <v>56</v>
      </c>
      <c r="F145" s="97" t="s">
        <v>90</v>
      </c>
      <c r="G145" s="98">
        <v>2.0</v>
      </c>
      <c r="H145" s="99" t="s">
        <v>35</v>
      </c>
      <c r="I145" s="97" t="s">
        <v>390</v>
      </c>
      <c r="J145" s="100">
        <v>46291.0</v>
      </c>
      <c r="K145" s="100">
        <v>46291.0</v>
      </c>
      <c r="L145" s="101">
        <v>2.0</v>
      </c>
      <c r="M145" s="98">
        <f t="shared" si="5"/>
        <v>0</v>
      </c>
      <c r="N145" s="3"/>
      <c r="O145" s="3"/>
      <c r="P145" s="3"/>
    </row>
    <row r="146" ht="30.0" customHeight="1">
      <c r="A146" s="102">
        <v>3.0</v>
      </c>
      <c r="B146" s="102" t="s">
        <v>53</v>
      </c>
      <c r="C146" s="102" t="s">
        <v>391</v>
      </c>
      <c r="D146" s="102" t="s">
        <v>392</v>
      </c>
      <c r="E146" s="103" t="s">
        <v>56</v>
      </c>
      <c r="F146" s="103" t="s">
        <v>90</v>
      </c>
      <c r="G146" s="104">
        <v>2.0</v>
      </c>
      <c r="H146" s="105" t="s">
        <v>35</v>
      </c>
      <c r="I146" s="103" t="s">
        <v>393</v>
      </c>
      <c r="J146" s="106">
        <v>46292.0</v>
      </c>
      <c r="K146" s="106">
        <v>46292.0</v>
      </c>
      <c r="L146" s="107">
        <v>2.0</v>
      </c>
      <c r="M146" s="104">
        <f t="shared" si="5"/>
        <v>0</v>
      </c>
      <c r="N146" s="3"/>
      <c r="O146" s="3"/>
      <c r="P146" s="3"/>
    </row>
    <row r="147" ht="30.0" customHeight="1">
      <c r="A147" s="96">
        <v>3.0</v>
      </c>
      <c r="B147" s="96" t="s">
        <v>37</v>
      </c>
      <c r="C147" s="96" t="s">
        <v>374</v>
      </c>
      <c r="D147" s="96" t="s">
        <v>375</v>
      </c>
      <c r="E147" s="97" t="s">
        <v>394</v>
      </c>
      <c r="F147" s="97" t="s">
        <v>76</v>
      </c>
      <c r="G147" s="98">
        <v>3.0</v>
      </c>
      <c r="H147" s="99" t="s">
        <v>35</v>
      </c>
      <c r="I147" s="97" t="s">
        <v>395</v>
      </c>
      <c r="J147" s="100">
        <v>46290.0</v>
      </c>
      <c r="K147" s="100">
        <v>46291.0</v>
      </c>
      <c r="L147" s="101">
        <v>4.0</v>
      </c>
      <c r="M147" s="98">
        <f t="shared" si="5"/>
        <v>1</v>
      </c>
      <c r="N147" s="3"/>
      <c r="O147" s="3"/>
      <c r="P147" s="3"/>
    </row>
    <row r="148" ht="30.0" customHeight="1">
      <c r="A148" s="102">
        <v>3.0</v>
      </c>
      <c r="B148" s="102" t="s">
        <v>37</v>
      </c>
      <c r="C148" s="102" t="s">
        <v>32</v>
      </c>
      <c r="D148" s="102" t="s">
        <v>121</v>
      </c>
      <c r="E148" s="103" t="s">
        <v>396</v>
      </c>
      <c r="F148" s="103" t="s">
        <v>397</v>
      </c>
      <c r="G148" s="104">
        <v>3.0</v>
      </c>
      <c r="H148" s="105" t="s">
        <v>35</v>
      </c>
      <c r="I148" s="103" t="s">
        <v>398</v>
      </c>
      <c r="J148" s="106">
        <v>46291.0</v>
      </c>
      <c r="K148" s="106">
        <v>46291.0</v>
      </c>
      <c r="L148" s="107">
        <v>3.0</v>
      </c>
      <c r="M148" s="104">
        <f t="shared" si="5"/>
        <v>0</v>
      </c>
      <c r="N148" s="3"/>
      <c r="O148" s="3"/>
      <c r="P148" s="3"/>
    </row>
    <row r="149" ht="30.0" customHeight="1">
      <c r="A149" s="96">
        <v>3.0</v>
      </c>
      <c r="B149" s="96" t="s">
        <v>44</v>
      </c>
      <c r="C149" s="96" t="s">
        <v>347</v>
      </c>
      <c r="D149" s="96" t="s">
        <v>348</v>
      </c>
      <c r="E149" s="97" t="s">
        <v>399</v>
      </c>
      <c r="F149" s="97" t="s">
        <v>400</v>
      </c>
      <c r="G149" s="98">
        <v>4.0</v>
      </c>
      <c r="H149" s="99" t="s">
        <v>35</v>
      </c>
      <c r="I149" s="97" t="s">
        <v>401</v>
      </c>
      <c r="J149" s="100">
        <v>46291.0</v>
      </c>
      <c r="K149" s="100">
        <v>46292.0</v>
      </c>
      <c r="L149" s="101">
        <v>5.0</v>
      </c>
      <c r="M149" s="98">
        <f t="shared" si="5"/>
        <v>1</v>
      </c>
      <c r="N149" s="3"/>
      <c r="O149" s="3"/>
      <c r="P149" s="3"/>
    </row>
    <row r="150" ht="30.0" customHeight="1">
      <c r="A150" s="102">
        <v>3.0</v>
      </c>
      <c r="B150" s="102" t="s">
        <v>37</v>
      </c>
      <c r="C150" s="102" t="s">
        <v>32</v>
      </c>
      <c r="D150" s="102" t="s">
        <v>32</v>
      </c>
      <c r="E150" s="103" t="s">
        <v>402</v>
      </c>
      <c r="F150" s="103" t="s">
        <v>39</v>
      </c>
      <c r="G150" s="104">
        <v>3.0</v>
      </c>
      <c r="H150" s="105" t="s">
        <v>35</v>
      </c>
      <c r="I150" s="103" t="s">
        <v>403</v>
      </c>
      <c r="J150" s="106">
        <v>46291.0</v>
      </c>
      <c r="K150" s="106">
        <v>46291.0</v>
      </c>
      <c r="L150" s="107">
        <v>2.0</v>
      </c>
      <c r="M150" s="104">
        <f t="shared" si="5"/>
        <v>-1</v>
      </c>
      <c r="N150" s="3"/>
      <c r="O150" s="3"/>
      <c r="P150" s="3"/>
    </row>
    <row r="151" ht="30.0" customHeight="1">
      <c r="A151" s="96">
        <v>3.0</v>
      </c>
      <c r="B151" s="96" t="s">
        <v>37</v>
      </c>
      <c r="C151" s="96" t="s">
        <v>32</v>
      </c>
      <c r="D151" s="96" t="s">
        <v>32</v>
      </c>
      <c r="E151" s="97" t="s">
        <v>404</v>
      </c>
      <c r="F151" s="97" t="s">
        <v>42</v>
      </c>
      <c r="G151" s="98">
        <v>2.0</v>
      </c>
      <c r="H151" s="99" t="s">
        <v>35</v>
      </c>
      <c r="I151" s="97" t="s">
        <v>405</v>
      </c>
      <c r="J151" s="100">
        <v>46291.0</v>
      </c>
      <c r="K151" s="100">
        <v>46291.0</v>
      </c>
      <c r="L151" s="101">
        <v>2.0</v>
      </c>
      <c r="M151" s="98">
        <f t="shared" si="5"/>
        <v>0</v>
      </c>
      <c r="N151" s="3"/>
      <c r="O151" s="3"/>
      <c r="P151" s="3"/>
    </row>
    <row r="152" ht="30.0" customHeight="1">
      <c r="A152" s="102">
        <v>3.0</v>
      </c>
      <c r="B152" s="102" t="s">
        <v>126</v>
      </c>
      <c r="C152" s="102" t="s">
        <v>338</v>
      </c>
      <c r="D152" s="102" t="s">
        <v>339</v>
      </c>
      <c r="E152" s="103" t="s">
        <v>406</v>
      </c>
      <c r="F152" s="103" t="s">
        <v>76</v>
      </c>
      <c r="G152" s="104">
        <v>3.0</v>
      </c>
      <c r="H152" s="105" t="s">
        <v>35</v>
      </c>
      <c r="I152" s="103" t="s">
        <v>407</v>
      </c>
      <c r="J152" s="106">
        <v>46293.0</v>
      </c>
      <c r="K152" s="106">
        <v>46294.0</v>
      </c>
      <c r="L152" s="107">
        <v>3.0</v>
      </c>
      <c r="M152" s="104">
        <f t="shared" si="5"/>
        <v>0</v>
      </c>
      <c r="N152" s="3"/>
      <c r="O152" s="3"/>
      <c r="P152" s="3"/>
    </row>
    <row r="153" ht="30.0" customHeight="1">
      <c r="A153" s="96">
        <v>3.0</v>
      </c>
      <c r="B153" s="96" t="s">
        <v>126</v>
      </c>
      <c r="C153" s="96" t="s">
        <v>341</v>
      </c>
      <c r="D153" s="96" t="s">
        <v>342</v>
      </c>
      <c r="E153" s="97" t="s">
        <v>408</v>
      </c>
      <c r="F153" s="97" t="s">
        <v>39</v>
      </c>
      <c r="G153" s="98">
        <v>3.0</v>
      </c>
      <c r="H153" s="99" t="s">
        <v>35</v>
      </c>
      <c r="I153" s="97" t="s">
        <v>409</v>
      </c>
      <c r="J153" s="100">
        <v>46293.0</v>
      </c>
      <c r="K153" s="100">
        <v>46293.0</v>
      </c>
      <c r="L153" s="101">
        <v>3.0</v>
      </c>
      <c r="M153" s="98">
        <f t="shared" si="5"/>
        <v>0</v>
      </c>
      <c r="N153" s="3"/>
      <c r="O153" s="3"/>
      <c r="P153" s="3"/>
    </row>
    <row r="154" ht="30.0" customHeight="1">
      <c r="A154" s="102">
        <v>3.0</v>
      </c>
      <c r="B154" s="102" t="s">
        <v>126</v>
      </c>
      <c r="C154" s="102" t="s">
        <v>344</v>
      </c>
      <c r="D154" s="102" t="s">
        <v>345</v>
      </c>
      <c r="E154" s="103" t="s">
        <v>410</v>
      </c>
      <c r="F154" s="103" t="s">
        <v>39</v>
      </c>
      <c r="G154" s="104">
        <v>4.0</v>
      </c>
      <c r="H154" s="105" t="s">
        <v>35</v>
      </c>
      <c r="I154" s="103" t="s">
        <v>411</v>
      </c>
      <c r="J154" s="106">
        <v>46294.0</v>
      </c>
      <c r="K154" s="106">
        <v>46295.0</v>
      </c>
      <c r="L154" s="107">
        <v>5.0</v>
      </c>
      <c r="M154" s="104">
        <f t="shared" si="5"/>
        <v>1</v>
      </c>
      <c r="N154" s="3"/>
      <c r="O154" s="3"/>
      <c r="P154" s="3"/>
    </row>
    <row r="155" ht="30.0" customHeight="1">
      <c r="A155" s="96">
        <v>3.0</v>
      </c>
      <c r="B155" s="96" t="s">
        <v>126</v>
      </c>
      <c r="C155" s="96" t="s">
        <v>347</v>
      </c>
      <c r="D155" s="96" t="s">
        <v>348</v>
      </c>
      <c r="E155" s="97" t="s">
        <v>412</v>
      </c>
      <c r="F155" s="97" t="s">
        <v>57</v>
      </c>
      <c r="G155" s="98">
        <v>4.0</v>
      </c>
      <c r="H155" s="99" t="s">
        <v>35</v>
      </c>
      <c r="I155" s="97" t="s">
        <v>413</v>
      </c>
      <c r="J155" s="100">
        <v>46292.0</v>
      </c>
      <c r="K155" s="100">
        <v>46293.0</v>
      </c>
      <c r="L155" s="101">
        <v>5.0</v>
      </c>
      <c r="M155" s="98">
        <f t="shared" si="5"/>
        <v>1</v>
      </c>
      <c r="N155" s="3"/>
      <c r="O155" s="3"/>
      <c r="P155" s="3"/>
    </row>
    <row r="156" ht="30.0" customHeight="1">
      <c r="A156" s="102">
        <v>3.0</v>
      </c>
      <c r="B156" s="102" t="s">
        <v>126</v>
      </c>
      <c r="C156" s="102" t="s">
        <v>350</v>
      </c>
      <c r="D156" s="102" t="s">
        <v>351</v>
      </c>
      <c r="E156" s="103" t="s">
        <v>414</v>
      </c>
      <c r="F156" s="103" t="s">
        <v>57</v>
      </c>
      <c r="G156" s="104">
        <v>3.0</v>
      </c>
      <c r="H156" s="105" t="s">
        <v>35</v>
      </c>
      <c r="I156" s="103" t="s">
        <v>415</v>
      </c>
      <c r="J156" s="106">
        <v>46294.0</v>
      </c>
      <c r="K156" s="106">
        <v>46294.0</v>
      </c>
      <c r="L156" s="107">
        <v>3.0</v>
      </c>
      <c r="M156" s="104">
        <f t="shared" si="5"/>
        <v>0</v>
      </c>
      <c r="N156" s="3"/>
      <c r="O156" s="3"/>
      <c r="P156" s="3"/>
    </row>
    <row r="157" ht="30.0" customHeight="1">
      <c r="A157" s="96">
        <v>3.0</v>
      </c>
      <c r="B157" s="96" t="s">
        <v>126</v>
      </c>
      <c r="C157" s="96" t="s">
        <v>353</v>
      </c>
      <c r="D157" s="96" t="s">
        <v>354</v>
      </c>
      <c r="E157" s="97" t="s">
        <v>416</v>
      </c>
      <c r="F157" s="97" t="s">
        <v>80</v>
      </c>
      <c r="G157" s="98">
        <v>5.0</v>
      </c>
      <c r="H157" s="99" t="s">
        <v>35</v>
      </c>
      <c r="I157" s="97" t="s">
        <v>417</v>
      </c>
      <c r="J157" s="100">
        <v>46293.0</v>
      </c>
      <c r="K157" s="100">
        <v>46295.0</v>
      </c>
      <c r="L157" s="101">
        <v>6.0</v>
      </c>
      <c r="M157" s="98">
        <f t="shared" si="5"/>
        <v>1</v>
      </c>
      <c r="N157" s="3"/>
      <c r="O157" s="3"/>
      <c r="P157" s="3"/>
    </row>
    <row r="158" ht="30.0" customHeight="1">
      <c r="A158" s="102">
        <v>3.0</v>
      </c>
      <c r="B158" s="102" t="s">
        <v>126</v>
      </c>
      <c r="C158" s="102" t="s">
        <v>356</v>
      </c>
      <c r="D158" s="102" t="s">
        <v>357</v>
      </c>
      <c r="E158" s="103" t="s">
        <v>418</v>
      </c>
      <c r="F158" s="103" t="s">
        <v>57</v>
      </c>
      <c r="G158" s="104">
        <v>3.0</v>
      </c>
      <c r="H158" s="105" t="s">
        <v>35</v>
      </c>
      <c r="I158" s="103" t="s">
        <v>419</v>
      </c>
      <c r="J158" s="106">
        <v>46295.0</v>
      </c>
      <c r="K158" s="106">
        <v>46295.0</v>
      </c>
      <c r="L158" s="107">
        <v>3.0</v>
      </c>
      <c r="M158" s="104">
        <f t="shared" si="5"/>
        <v>0</v>
      </c>
      <c r="N158" s="3"/>
      <c r="O158" s="3"/>
      <c r="P158" s="3"/>
    </row>
    <row r="159" ht="30.0" customHeight="1">
      <c r="A159" s="96">
        <v>3.0</v>
      </c>
      <c r="B159" s="96" t="s">
        <v>126</v>
      </c>
      <c r="C159" s="96" t="s">
        <v>359</v>
      </c>
      <c r="D159" s="96" t="s">
        <v>360</v>
      </c>
      <c r="E159" s="97" t="s">
        <v>420</v>
      </c>
      <c r="F159" s="97" t="s">
        <v>42</v>
      </c>
      <c r="G159" s="98">
        <v>3.0</v>
      </c>
      <c r="H159" s="99" t="s">
        <v>35</v>
      </c>
      <c r="I159" s="97" t="s">
        <v>421</v>
      </c>
      <c r="J159" s="100">
        <v>46293.0</v>
      </c>
      <c r="K159" s="100">
        <v>46293.0</v>
      </c>
      <c r="L159" s="101">
        <v>3.0</v>
      </c>
      <c r="M159" s="98">
        <f t="shared" si="5"/>
        <v>0</v>
      </c>
      <c r="N159" s="3"/>
      <c r="O159" s="3"/>
      <c r="P159" s="3"/>
    </row>
    <row r="160" ht="30.0" customHeight="1">
      <c r="A160" s="102">
        <v>3.0</v>
      </c>
      <c r="B160" s="102" t="s">
        <v>126</v>
      </c>
      <c r="C160" s="102" t="s">
        <v>362</v>
      </c>
      <c r="D160" s="102" t="s">
        <v>363</v>
      </c>
      <c r="E160" s="103" t="s">
        <v>422</v>
      </c>
      <c r="F160" s="103" t="s">
        <v>42</v>
      </c>
      <c r="G160" s="104">
        <v>3.0</v>
      </c>
      <c r="H160" s="105" t="s">
        <v>35</v>
      </c>
      <c r="I160" s="103" t="s">
        <v>423</v>
      </c>
      <c r="J160" s="106">
        <v>46294.0</v>
      </c>
      <c r="K160" s="106">
        <v>46294.0</v>
      </c>
      <c r="L160" s="107">
        <v>2.0</v>
      </c>
      <c r="M160" s="104">
        <f t="shared" si="5"/>
        <v>-1</v>
      </c>
      <c r="N160" s="3"/>
      <c r="O160" s="3"/>
      <c r="P160" s="3"/>
    </row>
    <row r="161" ht="30.0" customHeight="1">
      <c r="A161" s="96">
        <v>3.0</v>
      </c>
      <c r="B161" s="96" t="s">
        <v>126</v>
      </c>
      <c r="C161" s="96" t="s">
        <v>365</v>
      </c>
      <c r="D161" s="96" t="s">
        <v>366</v>
      </c>
      <c r="E161" s="97" t="s">
        <v>424</v>
      </c>
      <c r="F161" s="97" t="s">
        <v>80</v>
      </c>
      <c r="G161" s="98">
        <v>5.0</v>
      </c>
      <c r="H161" s="99" t="s">
        <v>35</v>
      </c>
      <c r="I161" s="97" t="s">
        <v>425</v>
      </c>
      <c r="J161" s="100">
        <v>46295.0</v>
      </c>
      <c r="K161" s="100">
        <v>46296.0</v>
      </c>
      <c r="L161" s="101">
        <v>6.0</v>
      </c>
      <c r="M161" s="98">
        <f t="shared" si="5"/>
        <v>1</v>
      </c>
      <c r="N161" s="3"/>
      <c r="O161" s="3"/>
      <c r="P161" s="3"/>
    </row>
    <row r="162" ht="30.0" customHeight="1">
      <c r="A162" s="102">
        <v>3.0</v>
      </c>
      <c r="B162" s="102" t="s">
        <v>126</v>
      </c>
      <c r="C162" s="102" t="s">
        <v>368</v>
      </c>
      <c r="D162" s="102" t="s">
        <v>369</v>
      </c>
      <c r="E162" s="103" t="s">
        <v>426</v>
      </c>
      <c r="F162" s="103" t="s">
        <v>39</v>
      </c>
      <c r="G162" s="104">
        <v>3.0</v>
      </c>
      <c r="H162" s="105" t="s">
        <v>35</v>
      </c>
      <c r="I162" s="103" t="s">
        <v>427</v>
      </c>
      <c r="J162" s="106">
        <v>46295.0</v>
      </c>
      <c r="K162" s="106">
        <v>46296.0</v>
      </c>
      <c r="L162" s="107">
        <v>4.0</v>
      </c>
      <c r="M162" s="104">
        <f t="shared" si="5"/>
        <v>1</v>
      </c>
      <c r="N162" s="3"/>
      <c r="O162" s="3"/>
      <c r="P162" s="3"/>
    </row>
    <row r="163" ht="30.0" customHeight="1">
      <c r="A163" s="96">
        <v>3.0</v>
      </c>
      <c r="B163" s="96" t="s">
        <v>126</v>
      </c>
      <c r="C163" s="96" t="s">
        <v>371</v>
      </c>
      <c r="D163" s="96" t="s">
        <v>372</v>
      </c>
      <c r="E163" s="97" t="s">
        <v>428</v>
      </c>
      <c r="F163" s="97" t="s">
        <v>42</v>
      </c>
      <c r="G163" s="98">
        <v>5.0</v>
      </c>
      <c r="H163" s="99" t="s">
        <v>35</v>
      </c>
      <c r="I163" s="97" t="s">
        <v>429</v>
      </c>
      <c r="J163" s="100">
        <v>46295.0</v>
      </c>
      <c r="K163" s="100">
        <v>46296.0</v>
      </c>
      <c r="L163" s="101">
        <v>5.0</v>
      </c>
      <c r="M163" s="98">
        <f t="shared" si="5"/>
        <v>0</v>
      </c>
      <c r="N163" s="3"/>
      <c r="O163" s="3"/>
      <c r="P163" s="3"/>
    </row>
    <row r="164" ht="30.0" customHeight="1">
      <c r="A164" s="102">
        <v>3.0</v>
      </c>
      <c r="B164" s="102" t="s">
        <v>126</v>
      </c>
      <c r="C164" s="102" t="s">
        <v>374</v>
      </c>
      <c r="D164" s="102" t="s">
        <v>375</v>
      </c>
      <c r="E164" s="103" t="s">
        <v>430</v>
      </c>
      <c r="F164" s="103" t="s">
        <v>76</v>
      </c>
      <c r="G164" s="104">
        <v>6.0</v>
      </c>
      <c r="H164" s="105" t="s">
        <v>35</v>
      </c>
      <c r="I164" s="103" t="s">
        <v>431</v>
      </c>
      <c r="J164" s="106">
        <v>46291.0</v>
      </c>
      <c r="K164" s="106">
        <v>46293.0</v>
      </c>
      <c r="L164" s="107">
        <v>7.0</v>
      </c>
      <c r="M164" s="104">
        <f t="shared" si="5"/>
        <v>1</v>
      </c>
      <c r="N164" s="3"/>
      <c r="O164" s="3"/>
      <c r="P164" s="3"/>
    </row>
    <row r="165" ht="30.0" customHeight="1">
      <c r="A165" s="96">
        <v>3.0</v>
      </c>
      <c r="B165" s="96" t="s">
        <v>126</v>
      </c>
      <c r="C165" s="96" t="s">
        <v>377</v>
      </c>
      <c r="D165" s="96" t="s">
        <v>378</v>
      </c>
      <c r="E165" s="97" t="s">
        <v>432</v>
      </c>
      <c r="F165" s="97" t="s">
        <v>46</v>
      </c>
      <c r="G165" s="98">
        <v>4.0</v>
      </c>
      <c r="H165" s="99" t="s">
        <v>35</v>
      </c>
      <c r="I165" s="97" t="s">
        <v>433</v>
      </c>
      <c r="J165" s="100">
        <v>46293.0</v>
      </c>
      <c r="K165" s="100">
        <v>46294.0</v>
      </c>
      <c r="L165" s="101">
        <v>4.0</v>
      </c>
      <c r="M165" s="98">
        <f t="shared" si="5"/>
        <v>0</v>
      </c>
      <c r="N165" s="3"/>
      <c r="O165" s="3"/>
      <c r="P165" s="3"/>
    </row>
    <row r="166" ht="30.0" customHeight="1">
      <c r="A166" s="102">
        <v>3.0</v>
      </c>
      <c r="B166" s="102" t="s">
        <v>126</v>
      </c>
      <c r="C166" s="102" t="s">
        <v>382</v>
      </c>
      <c r="D166" s="102" t="s">
        <v>383</v>
      </c>
      <c r="E166" s="103" t="s">
        <v>434</v>
      </c>
      <c r="F166" s="103" t="s">
        <v>46</v>
      </c>
      <c r="G166" s="104">
        <v>2.0</v>
      </c>
      <c r="H166" s="105" t="s">
        <v>35</v>
      </c>
      <c r="I166" s="103" t="s">
        <v>435</v>
      </c>
      <c r="J166" s="105" t="s">
        <v>436</v>
      </c>
      <c r="K166" s="106">
        <v>46295.0</v>
      </c>
      <c r="L166" s="107">
        <v>2.0</v>
      </c>
      <c r="M166" s="104">
        <f t="shared" si="5"/>
        <v>0</v>
      </c>
      <c r="N166" s="3"/>
      <c r="O166" s="3"/>
      <c r="P166" s="3"/>
    </row>
    <row r="167" ht="30.0" customHeight="1">
      <c r="A167" s="96">
        <v>3.0</v>
      </c>
      <c r="B167" s="96" t="s">
        <v>126</v>
      </c>
      <c r="C167" s="96" t="s">
        <v>385</v>
      </c>
      <c r="D167" s="96" t="s">
        <v>386</v>
      </c>
      <c r="E167" s="97" t="s">
        <v>437</v>
      </c>
      <c r="F167" s="97" t="s">
        <v>90</v>
      </c>
      <c r="G167" s="98">
        <v>3.0</v>
      </c>
      <c r="H167" s="99" t="s">
        <v>35</v>
      </c>
      <c r="I167" s="97" t="s">
        <v>438</v>
      </c>
      <c r="J167" s="100">
        <v>46293.0</v>
      </c>
      <c r="K167" s="100">
        <v>46293.0</v>
      </c>
      <c r="L167" s="101">
        <v>3.0</v>
      </c>
      <c r="M167" s="98">
        <f t="shared" si="5"/>
        <v>0</v>
      </c>
      <c r="N167" s="3"/>
      <c r="O167" s="3"/>
      <c r="P167" s="3"/>
    </row>
    <row r="168" ht="30.0" customHeight="1">
      <c r="A168" s="102">
        <v>3.0</v>
      </c>
      <c r="B168" s="102" t="s">
        <v>126</v>
      </c>
      <c r="C168" s="102" t="s">
        <v>388</v>
      </c>
      <c r="D168" s="102" t="s">
        <v>389</v>
      </c>
      <c r="E168" s="103" t="s">
        <v>439</v>
      </c>
      <c r="F168" s="103" t="s">
        <v>90</v>
      </c>
      <c r="G168" s="104">
        <v>4.0</v>
      </c>
      <c r="H168" s="105" t="s">
        <v>35</v>
      </c>
      <c r="I168" s="103" t="s">
        <v>440</v>
      </c>
      <c r="J168" s="106">
        <v>46294.0</v>
      </c>
      <c r="K168" s="106">
        <v>46295.0</v>
      </c>
      <c r="L168" s="107">
        <v>5.0</v>
      </c>
      <c r="M168" s="104">
        <f t="shared" si="5"/>
        <v>1</v>
      </c>
      <c r="N168" s="3"/>
      <c r="O168" s="3"/>
      <c r="P168" s="3"/>
    </row>
    <row r="169" ht="30.0" customHeight="1">
      <c r="A169" s="96">
        <v>3.0</v>
      </c>
      <c r="B169" s="96" t="s">
        <v>126</v>
      </c>
      <c r="C169" s="96" t="s">
        <v>391</v>
      </c>
      <c r="D169" s="96" t="s">
        <v>392</v>
      </c>
      <c r="E169" s="97" t="s">
        <v>441</v>
      </c>
      <c r="F169" s="97" t="s">
        <v>90</v>
      </c>
      <c r="G169" s="98">
        <v>3.0</v>
      </c>
      <c r="H169" s="99" t="s">
        <v>35</v>
      </c>
      <c r="I169" s="97" t="s">
        <v>442</v>
      </c>
      <c r="J169" s="100">
        <v>46296.0</v>
      </c>
      <c r="K169" s="100">
        <v>46296.0</v>
      </c>
      <c r="L169" s="101">
        <v>3.0</v>
      </c>
      <c r="M169" s="98">
        <f t="shared" si="5"/>
        <v>0</v>
      </c>
      <c r="N169" s="3"/>
      <c r="O169" s="3"/>
      <c r="P169" s="3"/>
    </row>
    <row r="170" ht="30.0" customHeight="1">
      <c r="A170" s="102">
        <v>3.0</v>
      </c>
      <c r="B170" s="102" t="s">
        <v>126</v>
      </c>
      <c r="C170" s="102" t="s">
        <v>32</v>
      </c>
      <c r="D170" s="102" t="s">
        <v>32</v>
      </c>
      <c r="E170" s="103" t="s">
        <v>443</v>
      </c>
      <c r="F170" s="103" t="s">
        <v>80</v>
      </c>
      <c r="G170" s="104">
        <v>4.0</v>
      </c>
      <c r="H170" s="105" t="s">
        <v>35</v>
      </c>
      <c r="I170" s="103" t="s">
        <v>444</v>
      </c>
      <c r="J170" s="106">
        <v>46293.0</v>
      </c>
      <c r="K170" s="106">
        <v>46296.0</v>
      </c>
      <c r="L170" s="107">
        <v>6.0</v>
      </c>
      <c r="M170" s="104">
        <f t="shared" si="5"/>
        <v>2</v>
      </c>
      <c r="N170" s="3"/>
      <c r="O170" s="3"/>
      <c r="P170" s="3"/>
    </row>
    <row r="171" ht="30.0" customHeight="1">
      <c r="A171" s="96">
        <v>3.0</v>
      </c>
      <c r="B171" s="96" t="s">
        <v>445</v>
      </c>
      <c r="C171" s="96" t="s">
        <v>32</v>
      </c>
      <c r="D171" s="96" t="s">
        <v>32</v>
      </c>
      <c r="E171" s="97" t="s">
        <v>446</v>
      </c>
      <c r="F171" s="97" t="s">
        <v>46</v>
      </c>
      <c r="G171" s="98">
        <v>2.0</v>
      </c>
      <c r="H171" s="99" t="s">
        <v>35</v>
      </c>
      <c r="I171" s="97" t="s">
        <v>447</v>
      </c>
      <c r="J171" s="100">
        <v>46295.0</v>
      </c>
      <c r="K171" s="100">
        <v>46295.0</v>
      </c>
      <c r="L171" s="101">
        <v>2.0</v>
      </c>
      <c r="M171" s="98">
        <f t="shared" si="5"/>
        <v>0</v>
      </c>
      <c r="N171" s="3"/>
      <c r="O171" s="3"/>
      <c r="P171" s="3"/>
    </row>
    <row r="172" ht="30.0" customHeight="1">
      <c r="A172" s="102">
        <v>3.0</v>
      </c>
      <c r="B172" s="102" t="s">
        <v>448</v>
      </c>
      <c r="C172" s="102" t="s">
        <v>32</v>
      </c>
      <c r="D172" s="102" t="s">
        <v>32</v>
      </c>
      <c r="E172" s="103" t="s">
        <v>449</v>
      </c>
      <c r="F172" s="103" t="s">
        <v>39</v>
      </c>
      <c r="G172" s="104">
        <v>3.0</v>
      </c>
      <c r="H172" s="105" t="s">
        <v>35</v>
      </c>
      <c r="I172" s="103" t="s">
        <v>450</v>
      </c>
      <c r="J172" s="106">
        <v>46296.0</v>
      </c>
      <c r="K172" s="106">
        <v>46296.0</v>
      </c>
      <c r="L172" s="107">
        <v>4.0</v>
      </c>
      <c r="M172" s="104">
        <f t="shared" si="5"/>
        <v>1</v>
      </c>
      <c r="N172" s="3"/>
      <c r="O172" s="3"/>
      <c r="P172" s="3"/>
    </row>
    <row r="173" ht="30.0" customHeight="1">
      <c r="A173" s="96">
        <v>3.0</v>
      </c>
      <c r="B173" s="96" t="s">
        <v>448</v>
      </c>
      <c r="C173" s="96" t="s">
        <v>32</v>
      </c>
      <c r="D173" s="96" t="s">
        <v>32</v>
      </c>
      <c r="E173" s="97" t="s">
        <v>451</v>
      </c>
      <c r="F173" s="97" t="s">
        <v>34</v>
      </c>
      <c r="G173" s="98">
        <v>6.0</v>
      </c>
      <c r="H173" s="99" t="s">
        <v>35</v>
      </c>
      <c r="I173" s="97" t="s">
        <v>452</v>
      </c>
      <c r="J173" s="100">
        <v>46295.0</v>
      </c>
      <c r="K173" s="100">
        <v>46296.0</v>
      </c>
      <c r="L173" s="101">
        <v>5.0</v>
      </c>
      <c r="M173" s="98">
        <f t="shared" si="5"/>
        <v>-1</v>
      </c>
      <c r="N173" s="3"/>
      <c r="O173" s="3"/>
      <c r="P173" s="3"/>
    </row>
    <row r="174" ht="30.0" customHeight="1">
      <c r="A174" s="102">
        <v>3.0</v>
      </c>
      <c r="B174" s="102" t="s">
        <v>31</v>
      </c>
      <c r="C174" s="102" t="s">
        <v>32</v>
      </c>
      <c r="D174" s="102" t="s">
        <v>32</v>
      </c>
      <c r="E174" s="103" t="s">
        <v>453</v>
      </c>
      <c r="F174" s="103" t="s">
        <v>454</v>
      </c>
      <c r="G174" s="104">
        <v>2.0</v>
      </c>
      <c r="H174" s="105" t="s">
        <v>35</v>
      </c>
      <c r="I174" s="103" t="s">
        <v>455</v>
      </c>
      <c r="J174" s="106">
        <v>46296.0</v>
      </c>
      <c r="K174" s="106">
        <v>46296.0</v>
      </c>
      <c r="L174" s="107">
        <v>2.0</v>
      </c>
      <c r="M174" s="104">
        <f t="shared" si="5"/>
        <v>0</v>
      </c>
      <c r="N174" s="3"/>
      <c r="O174" s="3"/>
      <c r="P174" s="3"/>
    </row>
    <row r="175" ht="30.0" customHeight="1">
      <c r="A175" s="96">
        <v>3.0</v>
      </c>
      <c r="B175" s="96" t="s">
        <v>31</v>
      </c>
      <c r="C175" s="96" t="s">
        <v>32</v>
      </c>
      <c r="D175" s="96" t="s">
        <v>32</v>
      </c>
      <c r="E175" s="97" t="s">
        <v>456</v>
      </c>
      <c r="F175" s="97" t="s">
        <v>34</v>
      </c>
      <c r="G175" s="98">
        <v>4.0</v>
      </c>
      <c r="H175" s="99" t="s">
        <v>35</v>
      </c>
      <c r="I175" s="97" t="s">
        <v>457</v>
      </c>
      <c r="J175" s="100">
        <v>46296.0</v>
      </c>
      <c r="K175" s="100">
        <v>46296.0</v>
      </c>
      <c r="L175" s="101">
        <v>4.0</v>
      </c>
      <c r="M175" s="98">
        <f t="shared" si="5"/>
        <v>0</v>
      </c>
      <c r="N175" s="3"/>
      <c r="O175" s="3"/>
      <c r="P175" s="3"/>
    </row>
    <row r="176" ht="30.0" customHeight="1">
      <c r="A176" s="102">
        <v>3.0</v>
      </c>
      <c r="B176" s="102" t="s">
        <v>458</v>
      </c>
      <c r="C176" s="102" t="s">
        <v>32</v>
      </c>
      <c r="D176" s="102" t="s">
        <v>32</v>
      </c>
      <c r="E176" s="103" t="s">
        <v>459</v>
      </c>
      <c r="F176" s="103" t="s">
        <v>34</v>
      </c>
      <c r="G176" s="104">
        <v>2.0</v>
      </c>
      <c r="H176" s="105" t="s">
        <v>35</v>
      </c>
      <c r="I176" s="103" t="s">
        <v>460</v>
      </c>
      <c r="J176" s="106">
        <v>46289.0</v>
      </c>
      <c r="K176" s="106">
        <v>46297.0</v>
      </c>
      <c r="L176" s="107">
        <v>2.0</v>
      </c>
      <c r="M176" s="104">
        <f t="shared" si="5"/>
        <v>0</v>
      </c>
      <c r="N176" s="3"/>
      <c r="O176" s="3"/>
      <c r="P176" s="3"/>
    </row>
    <row r="177" ht="30.0" customHeight="1">
      <c r="A177" s="96">
        <v>3.0</v>
      </c>
      <c r="B177" s="96" t="s">
        <v>458</v>
      </c>
      <c r="C177" s="96" t="s">
        <v>32</v>
      </c>
      <c r="D177" s="96" t="s">
        <v>32</v>
      </c>
      <c r="E177" s="97" t="s">
        <v>461</v>
      </c>
      <c r="F177" s="97" t="s">
        <v>34</v>
      </c>
      <c r="G177" s="98">
        <v>2.0</v>
      </c>
      <c r="H177" s="99" t="s">
        <v>35</v>
      </c>
      <c r="I177" s="97" t="s">
        <v>462</v>
      </c>
      <c r="J177" s="100">
        <v>46297.0</v>
      </c>
      <c r="K177" s="100">
        <v>46297.0</v>
      </c>
      <c r="L177" s="101">
        <v>2.0</v>
      </c>
      <c r="M177" s="98">
        <f t="shared" si="5"/>
        <v>0</v>
      </c>
      <c r="N177" s="3"/>
      <c r="O177" s="3"/>
      <c r="P177" s="3"/>
    </row>
    <row r="178" ht="30.0" customHeight="1">
      <c r="A178" s="102">
        <v>3.0</v>
      </c>
      <c r="B178" s="102" t="s">
        <v>458</v>
      </c>
      <c r="C178" s="102" t="s">
        <v>32</v>
      </c>
      <c r="D178" s="102" t="s">
        <v>32</v>
      </c>
      <c r="E178" s="103" t="s">
        <v>463</v>
      </c>
      <c r="F178" s="113" t="s">
        <v>57</v>
      </c>
      <c r="G178" s="104">
        <v>1.0</v>
      </c>
      <c r="H178" s="105" t="s">
        <v>35</v>
      </c>
      <c r="I178" s="103" t="s">
        <v>464</v>
      </c>
      <c r="J178" s="106">
        <v>46297.0</v>
      </c>
      <c r="K178" s="106">
        <v>46297.0</v>
      </c>
      <c r="L178" s="107">
        <v>1.0</v>
      </c>
      <c r="M178" s="104">
        <f t="shared" si="5"/>
        <v>0</v>
      </c>
      <c r="N178" s="3"/>
      <c r="O178" s="3"/>
      <c r="P178" s="3"/>
    </row>
    <row r="179" ht="30.0" customHeight="1">
      <c r="A179" s="96">
        <v>3.0</v>
      </c>
      <c r="B179" s="96" t="s">
        <v>31</v>
      </c>
      <c r="C179" s="96" t="s">
        <v>32</v>
      </c>
      <c r="D179" s="96" t="s">
        <v>32</v>
      </c>
      <c r="E179" s="97" t="s">
        <v>465</v>
      </c>
      <c r="F179" s="97" t="s">
        <v>46</v>
      </c>
      <c r="G179" s="98">
        <v>1.0</v>
      </c>
      <c r="H179" s="99" t="s">
        <v>35</v>
      </c>
      <c r="I179" s="97" t="s">
        <v>466</v>
      </c>
      <c r="J179" s="100">
        <v>46297.0</v>
      </c>
      <c r="K179" s="100">
        <v>46297.0</v>
      </c>
      <c r="L179" s="101">
        <v>1.0</v>
      </c>
      <c r="M179" s="98">
        <f t="shared" si="5"/>
        <v>0</v>
      </c>
      <c r="N179" s="3"/>
      <c r="O179" s="3"/>
      <c r="P179" s="3"/>
    </row>
    <row r="180" ht="30.0" customHeight="1">
      <c r="A180" s="102">
        <v>3.0</v>
      </c>
      <c r="B180" s="102" t="s">
        <v>31</v>
      </c>
      <c r="C180" s="102" t="s">
        <v>32</v>
      </c>
      <c r="D180" s="102" t="s">
        <v>32</v>
      </c>
      <c r="E180" s="103" t="s">
        <v>467</v>
      </c>
      <c r="F180" s="113" t="s">
        <v>76</v>
      </c>
      <c r="G180" s="104">
        <v>3.0</v>
      </c>
      <c r="H180" s="105" t="s">
        <v>35</v>
      </c>
      <c r="I180" s="103" t="s">
        <v>468</v>
      </c>
      <c r="J180" s="106">
        <v>46297.0</v>
      </c>
      <c r="K180" s="106">
        <v>46297.0</v>
      </c>
      <c r="L180" s="107">
        <v>3.0</v>
      </c>
      <c r="M180" s="104">
        <f t="shared" si="5"/>
        <v>0</v>
      </c>
      <c r="N180" s="3"/>
      <c r="O180" s="3"/>
      <c r="P180" s="3"/>
    </row>
    <row r="181" ht="30.0" customHeight="1">
      <c r="A181" s="96">
        <v>3.0</v>
      </c>
      <c r="B181" s="96" t="s">
        <v>31</v>
      </c>
      <c r="C181" s="96" t="s">
        <v>32</v>
      </c>
      <c r="D181" s="96" t="s">
        <v>32</v>
      </c>
      <c r="E181" s="97" t="s">
        <v>469</v>
      </c>
      <c r="F181" s="97" t="s">
        <v>470</v>
      </c>
      <c r="G181" s="98">
        <v>2.0</v>
      </c>
      <c r="H181" s="99" t="s">
        <v>35</v>
      </c>
      <c r="I181" s="97" t="s">
        <v>471</v>
      </c>
      <c r="J181" s="100">
        <v>46297.0</v>
      </c>
      <c r="K181" s="100">
        <v>46297.0</v>
      </c>
      <c r="L181" s="101">
        <v>2.0</v>
      </c>
      <c r="M181" s="98">
        <f t="shared" si="5"/>
        <v>0</v>
      </c>
      <c r="N181" s="3"/>
      <c r="O181" s="3"/>
      <c r="P181" s="3"/>
    </row>
    <row r="182" ht="30.0" customHeight="1">
      <c r="A182" s="102">
        <v>3.0</v>
      </c>
      <c r="B182" s="102" t="s">
        <v>472</v>
      </c>
      <c r="C182" s="102" t="s">
        <v>32</v>
      </c>
      <c r="D182" s="102" t="s">
        <v>32</v>
      </c>
      <c r="E182" s="103" t="s">
        <v>473</v>
      </c>
      <c r="F182" s="103" t="s">
        <v>34</v>
      </c>
      <c r="G182" s="104">
        <v>4.0</v>
      </c>
      <c r="H182" s="105" t="s">
        <v>35</v>
      </c>
      <c r="I182" s="103" t="s">
        <v>474</v>
      </c>
      <c r="J182" s="106">
        <v>46297.0</v>
      </c>
      <c r="K182" s="106">
        <v>46297.0</v>
      </c>
      <c r="L182" s="107">
        <v>4.0</v>
      </c>
      <c r="M182" s="104">
        <f t="shared" si="5"/>
        <v>0</v>
      </c>
      <c r="N182" s="3"/>
      <c r="O182" s="3"/>
      <c r="P182" s="3"/>
    </row>
    <row r="183" ht="24.0" customHeight="1">
      <c r="A183" s="96">
        <v>3.0</v>
      </c>
      <c r="B183" s="99" t="s">
        <v>37</v>
      </c>
      <c r="C183" s="96" t="s">
        <v>32</v>
      </c>
      <c r="D183" s="96" t="s">
        <v>32</v>
      </c>
      <c r="E183" s="114" t="s">
        <v>475</v>
      </c>
      <c r="F183" s="114" t="s">
        <v>46</v>
      </c>
      <c r="G183" s="101">
        <v>8.0</v>
      </c>
      <c r="H183" s="99" t="s">
        <v>35</v>
      </c>
      <c r="I183" s="114" t="s">
        <v>476</v>
      </c>
      <c r="J183" s="100">
        <v>46297.0</v>
      </c>
      <c r="K183" s="100">
        <v>46297.0</v>
      </c>
      <c r="L183" s="101">
        <v>2.0</v>
      </c>
      <c r="M183" s="98">
        <f t="shared" si="5"/>
        <v>-6</v>
      </c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115" t="s">
        <v>477</v>
      </c>
      <c r="G184" s="116">
        <f>SUM(G126:G183)</f>
        <v>169</v>
      </c>
      <c r="H184" s="3"/>
      <c r="I184" s="117"/>
      <c r="J184" s="118"/>
      <c r="K184" s="118"/>
      <c r="L184" s="116">
        <f t="shared" ref="L184:M184" si="6">SUM(L126:L183)</f>
        <v>173</v>
      </c>
      <c r="M184" s="116">
        <f t="shared" si="6"/>
        <v>4</v>
      </c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117"/>
      <c r="J185" s="118"/>
      <c r="K185" s="118"/>
      <c r="L185" s="118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117"/>
      <c r="J186" s="118"/>
      <c r="K186" s="118"/>
      <c r="L186" s="118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117"/>
      <c r="J187" s="118"/>
      <c r="K187" s="118"/>
      <c r="L187" s="118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117"/>
      <c r="J188" s="118"/>
      <c r="K188" s="118"/>
      <c r="L188" s="118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117"/>
      <c r="J189" s="118"/>
      <c r="K189" s="118"/>
      <c r="L189" s="118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117"/>
      <c r="J190" s="118"/>
      <c r="K190" s="118"/>
      <c r="L190" s="118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117"/>
      <c r="J191" s="118"/>
      <c r="K191" s="118"/>
      <c r="L191" s="118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117"/>
      <c r="J192" s="118"/>
      <c r="K192" s="118"/>
      <c r="L192" s="118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117"/>
      <c r="J193" s="118"/>
      <c r="K193" s="118"/>
      <c r="L193" s="118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117"/>
      <c r="J194" s="118"/>
      <c r="K194" s="118"/>
      <c r="L194" s="118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117"/>
      <c r="J195" s="118"/>
      <c r="K195" s="118"/>
      <c r="L195" s="118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117"/>
      <c r="J196" s="118"/>
      <c r="K196" s="118"/>
      <c r="L196" s="118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117"/>
      <c r="J197" s="118"/>
      <c r="K197" s="118"/>
      <c r="L197" s="118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117"/>
      <c r="J198" s="118"/>
      <c r="K198" s="118"/>
      <c r="L198" s="118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117"/>
      <c r="J199" s="118"/>
      <c r="K199" s="118"/>
      <c r="L199" s="118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117"/>
      <c r="J200" s="118"/>
      <c r="K200" s="118"/>
      <c r="L200" s="118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117"/>
      <c r="J201" s="118"/>
      <c r="K201" s="118"/>
      <c r="L201" s="118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117"/>
      <c r="J202" s="118"/>
      <c r="K202" s="118"/>
      <c r="L202" s="118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117"/>
      <c r="J203" s="118"/>
      <c r="K203" s="118"/>
      <c r="L203" s="118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117"/>
      <c r="J204" s="118"/>
      <c r="K204" s="118"/>
      <c r="L204" s="118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117"/>
      <c r="J205" s="118"/>
      <c r="K205" s="118"/>
      <c r="L205" s="118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117"/>
      <c r="J206" s="118"/>
      <c r="K206" s="118"/>
      <c r="L206" s="118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117"/>
      <c r="J207" s="118"/>
      <c r="K207" s="118"/>
      <c r="L207" s="118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117"/>
      <c r="J208" s="118"/>
      <c r="K208" s="118"/>
      <c r="L208" s="118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117"/>
      <c r="J209" s="118"/>
      <c r="K209" s="118"/>
      <c r="L209" s="118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117"/>
      <c r="J210" s="118"/>
      <c r="K210" s="118"/>
      <c r="L210" s="118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117"/>
      <c r="J211" s="118"/>
      <c r="K211" s="118"/>
      <c r="L211" s="118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117"/>
      <c r="J212" s="118"/>
      <c r="K212" s="118"/>
      <c r="L212" s="118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117"/>
      <c r="J213" s="118"/>
      <c r="K213" s="118"/>
      <c r="L213" s="118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117"/>
      <c r="J214" s="118"/>
      <c r="K214" s="118"/>
      <c r="L214" s="118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117"/>
      <c r="J215" s="118"/>
      <c r="K215" s="118"/>
      <c r="L215" s="118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117"/>
      <c r="J216" s="118"/>
      <c r="K216" s="118"/>
      <c r="L216" s="118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117"/>
      <c r="J217" s="118"/>
      <c r="K217" s="118"/>
      <c r="L217" s="118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117"/>
      <c r="J218" s="118"/>
      <c r="K218" s="118"/>
      <c r="L218" s="118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117"/>
      <c r="J219" s="118"/>
      <c r="K219" s="118"/>
      <c r="L219" s="118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117"/>
      <c r="J220" s="118"/>
      <c r="K220" s="118"/>
      <c r="L220" s="118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117"/>
      <c r="J221" s="118"/>
      <c r="K221" s="118"/>
      <c r="L221" s="118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117"/>
      <c r="J222" s="118"/>
      <c r="K222" s="118"/>
      <c r="L222" s="118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117"/>
      <c r="J223" s="118"/>
      <c r="K223" s="118"/>
      <c r="L223" s="118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117"/>
      <c r="J224" s="118"/>
      <c r="K224" s="118"/>
      <c r="L224" s="118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117"/>
      <c r="J225" s="118"/>
      <c r="K225" s="118"/>
      <c r="L225" s="118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117"/>
      <c r="J226" s="118"/>
      <c r="K226" s="118"/>
      <c r="L226" s="118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117"/>
      <c r="J227" s="118"/>
      <c r="K227" s="118"/>
      <c r="L227" s="118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117"/>
      <c r="J228" s="118"/>
      <c r="K228" s="118"/>
      <c r="L228" s="118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117"/>
      <c r="J229" s="118"/>
      <c r="K229" s="118"/>
      <c r="L229" s="118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117"/>
      <c r="J230" s="118"/>
      <c r="K230" s="118"/>
      <c r="L230" s="118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117"/>
      <c r="J231" s="118"/>
      <c r="K231" s="118"/>
      <c r="L231" s="118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117"/>
      <c r="J232" s="118"/>
      <c r="K232" s="118"/>
      <c r="L232" s="118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117"/>
      <c r="J233" s="118"/>
      <c r="K233" s="118"/>
      <c r="L233" s="118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117"/>
      <c r="J234" s="118"/>
      <c r="K234" s="118"/>
      <c r="L234" s="118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117"/>
      <c r="J235" s="118"/>
      <c r="K235" s="118"/>
      <c r="L235" s="118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117"/>
      <c r="J236" s="118"/>
      <c r="K236" s="118"/>
      <c r="L236" s="118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117"/>
      <c r="J237" s="118"/>
      <c r="K237" s="118"/>
      <c r="L237" s="118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117"/>
      <c r="J238" s="118"/>
      <c r="K238" s="118"/>
      <c r="L238" s="118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117"/>
      <c r="J239" s="118"/>
      <c r="K239" s="118"/>
      <c r="L239" s="118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117"/>
      <c r="J240" s="118"/>
      <c r="K240" s="118"/>
      <c r="L240" s="118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117"/>
      <c r="J241" s="118"/>
      <c r="K241" s="118"/>
      <c r="L241" s="118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117"/>
      <c r="J242" s="118"/>
      <c r="K242" s="118"/>
      <c r="L242" s="118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117"/>
      <c r="J243" s="118"/>
      <c r="K243" s="118"/>
      <c r="L243" s="118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117"/>
      <c r="J244" s="118"/>
      <c r="K244" s="118"/>
      <c r="L244" s="118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117"/>
      <c r="J245" s="118"/>
      <c r="K245" s="118"/>
      <c r="L245" s="118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117"/>
      <c r="J246" s="118"/>
      <c r="K246" s="118"/>
      <c r="L246" s="118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117"/>
      <c r="J247" s="118"/>
      <c r="K247" s="118"/>
      <c r="L247" s="118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117"/>
      <c r="J248" s="118"/>
      <c r="K248" s="118"/>
      <c r="L248" s="118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117"/>
      <c r="J249" s="118"/>
      <c r="K249" s="118"/>
      <c r="L249" s="118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117"/>
      <c r="J250" s="118"/>
      <c r="K250" s="118"/>
      <c r="L250" s="118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117"/>
      <c r="J251" s="118"/>
      <c r="K251" s="118"/>
      <c r="L251" s="118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117"/>
      <c r="J252" s="118"/>
      <c r="K252" s="118"/>
      <c r="L252" s="118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117"/>
      <c r="J253" s="118"/>
      <c r="K253" s="118"/>
      <c r="L253" s="118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117"/>
      <c r="J254" s="118"/>
      <c r="K254" s="118"/>
      <c r="L254" s="118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117"/>
      <c r="J255" s="118"/>
      <c r="K255" s="118"/>
      <c r="L255" s="118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117"/>
      <c r="J256" s="118"/>
      <c r="K256" s="118"/>
      <c r="L256" s="118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117"/>
      <c r="J257" s="118"/>
      <c r="K257" s="118"/>
      <c r="L257" s="118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117"/>
      <c r="J258" s="118"/>
      <c r="K258" s="118"/>
      <c r="L258" s="118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117"/>
      <c r="J259" s="118"/>
      <c r="K259" s="118"/>
      <c r="L259" s="118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117"/>
      <c r="J260" s="118"/>
      <c r="K260" s="118"/>
      <c r="L260" s="118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117"/>
      <c r="J261" s="118"/>
      <c r="K261" s="118"/>
      <c r="L261" s="118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117"/>
      <c r="J262" s="118"/>
      <c r="K262" s="118"/>
      <c r="L262" s="118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117"/>
      <c r="J263" s="118"/>
      <c r="K263" s="118"/>
      <c r="L263" s="118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117"/>
      <c r="J264" s="118"/>
      <c r="K264" s="118"/>
      <c r="L264" s="118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117"/>
      <c r="J265" s="118"/>
      <c r="K265" s="118"/>
      <c r="L265" s="118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117"/>
      <c r="J266" s="118"/>
      <c r="K266" s="118"/>
      <c r="L266" s="118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117"/>
      <c r="J267" s="118"/>
      <c r="K267" s="118"/>
      <c r="L267" s="118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117"/>
      <c r="J268" s="118"/>
      <c r="K268" s="118"/>
      <c r="L268" s="118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117"/>
      <c r="J269" s="118"/>
      <c r="K269" s="118"/>
      <c r="L269" s="118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117"/>
      <c r="J270" s="118"/>
      <c r="K270" s="118"/>
      <c r="L270" s="118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117"/>
      <c r="J271" s="118"/>
      <c r="K271" s="118"/>
      <c r="L271" s="118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117"/>
      <c r="J272" s="118"/>
      <c r="K272" s="118"/>
      <c r="L272" s="118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117"/>
      <c r="J273" s="118"/>
      <c r="K273" s="118"/>
      <c r="L273" s="118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117"/>
      <c r="J274" s="118"/>
      <c r="K274" s="118"/>
      <c r="L274" s="118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117"/>
      <c r="J275" s="118"/>
      <c r="K275" s="118"/>
      <c r="L275" s="118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117"/>
      <c r="J276" s="118"/>
      <c r="K276" s="118"/>
      <c r="L276" s="118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117"/>
      <c r="J277" s="118"/>
      <c r="K277" s="118"/>
      <c r="L277" s="118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117"/>
      <c r="J278" s="118"/>
      <c r="K278" s="118"/>
      <c r="L278" s="118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117"/>
      <c r="J279" s="118"/>
      <c r="K279" s="118"/>
      <c r="L279" s="118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117"/>
      <c r="J280" s="118"/>
      <c r="K280" s="118"/>
      <c r="L280" s="118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117"/>
      <c r="J281" s="118"/>
      <c r="K281" s="118"/>
      <c r="L281" s="118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117"/>
      <c r="J282" s="118"/>
      <c r="K282" s="118"/>
      <c r="L282" s="118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117"/>
      <c r="J283" s="118"/>
      <c r="K283" s="118"/>
      <c r="L283" s="118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117"/>
      <c r="J284" s="118"/>
      <c r="K284" s="118"/>
      <c r="L284" s="118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117"/>
      <c r="J285" s="118"/>
      <c r="K285" s="118"/>
      <c r="L285" s="118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117"/>
      <c r="J286" s="118"/>
      <c r="K286" s="118"/>
      <c r="L286" s="118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117"/>
      <c r="J287" s="118"/>
      <c r="K287" s="118"/>
      <c r="L287" s="118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117"/>
      <c r="J288" s="118"/>
      <c r="K288" s="118"/>
      <c r="L288" s="118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117"/>
      <c r="J289" s="118"/>
      <c r="K289" s="118"/>
      <c r="L289" s="118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117"/>
      <c r="J290" s="118"/>
      <c r="K290" s="118"/>
      <c r="L290" s="118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117"/>
      <c r="J291" s="118"/>
      <c r="K291" s="118"/>
      <c r="L291" s="118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117"/>
      <c r="J292" s="118"/>
      <c r="K292" s="118"/>
      <c r="L292" s="118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117"/>
      <c r="J293" s="118"/>
      <c r="K293" s="118"/>
      <c r="L293" s="118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117"/>
      <c r="J294" s="118"/>
      <c r="K294" s="118"/>
      <c r="L294" s="118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117"/>
      <c r="J295" s="118"/>
      <c r="K295" s="118"/>
      <c r="L295" s="118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117"/>
      <c r="J296" s="118"/>
      <c r="K296" s="118"/>
      <c r="L296" s="118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117"/>
      <c r="J297" s="118"/>
      <c r="K297" s="118"/>
      <c r="L297" s="118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117"/>
      <c r="J298" s="118"/>
      <c r="K298" s="118"/>
      <c r="L298" s="118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117"/>
      <c r="J299" s="118"/>
      <c r="K299" s="118"/>
      <c r="L299" s="118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117"/>
      <c r="J300" s="118"/>
      <c r="K300" s="118"/>
      <c r="L300" s="118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117"/>
      <c r="J301" s="118"/>
      <c r="K301" s="118"/>
      <c r="L301" s="118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117"/>
      <c r="J302" s="118"/>
      <c r="K302" s="118"/>
      <c r="L302" s="118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117"/>
      <c r="J303" s="118"/>
      <c r="K303" s="118"/>
      <c r="L303" s="118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117"/>
      <c r="J304" s="118"/>
      <c r="K304" s="118"/>
      <c r="L304" s="118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117"/>
      <c r="J305" s="118"/>
      <c r="K305" s="118"/>
      <c r="L305" s="118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117"/>
      <c r="J306" s="118"/>
      <c r="K306" s="118"/>
      <c r="L306" s="118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117"/>
      <c r="J307" s="118"/>
      <c r="K307" s="118"/>
      <c r="L307" s="118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117"/>
      <c r="J308" s="118"/>
      <c r="K308" s="118"/>
      <c r="L308" s="118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117"/>
      <c r="J309" s="118"/>
      <c r="K309" s="118"/>
      <c r="L309" s="118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117"/>
      <c r="J310" s="118"/>
      <c r="K310" s="118"/>
      <c r="L310" s="118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117"/>
      <c r="J311" s="118"/>
      <c r="K311" s="118"/>
      <c r="L311" s="118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117"/>
      <c r="J312" s="118"/>
      <c r="K312" s="118"/>
      <c r="L312" s="118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117"/>
      <c r="J313" s="118"/>
      <c r="K313" s="118"/>
      <c r="L313" s="118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117"/>
      <c r="J314" s="118"/>
      <c r="K314" s="118"/>
      <c r="L314" s="118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117"/>
      <c r="J315" s="118"/>
      <c r="K315" s="118"/>
      <c r="L315" s="118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117"/>
      <c r="J316" s="118"/>
      <c r="K316" s="118"/>
      <c r="L316" s="118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117"/>
      <c r="J317" s="118"/>
      <c r="K317" s="118"/>
      <c r="L317" s="118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117"/>
      <c r="J318" s="118"/>
      <c r="K318" s="118"/>
      <c r="L318" s="118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117"/>
      <c r="J319" s="118"/>
      <c r="K319" s="118"/>
      <c r="L319" s="118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117"/>
      <c r="J320" s="118"/>
      <c r="K320" s="118"/>
      <c r="L320" s="118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117"/>
      <c r="J321" s="118"/>
      <c r="K321" s="118"/>
      <c r="L321" s="118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117"/>
      <c r="J322" s="118"/>
      <c r="K322" s="118"/>
      <c r="L322" s="118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117"/>
      <c r="J323" s="118"/>
      <c r="K323" s="118"/>
      <c r="L323" s="118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117"/>
      <c r="J324" s="118"/>
      <c r="K324" s="118"/>
      <c r="L324" s="118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117"/>
      <c r="J325" s="118"/>
      <c r="K325" s="118"/>
      <c r="L325" s="118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117"/>
      <c r="J326" s="118"/>
      <c r="K326" s="118"/>
      <c r="L326" s="118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117"/>
      <c r="J327" s="118"/>
      <c r="K327" s="118"/>
      <c r="L327" s="118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117"/>
      <c r="J328" s="118"/>
      <c r="K328" s="118"/>
      <c r="L328" s="118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117"/>
      <c r="J329" s="118"/>
      <c r="K329" s="118"/>
      <c r="L329" s="118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117"/>
      <c r="J330" s="118"/>
      <c r="K330" s="118"/>
      <c r="L330" s="118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117"/>
      <c r="J331" s="118"/>
      <c r="K331" s="118"/>
      <c r="L331" s="118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117"/>
      <c r="J332" s="118"/>
      <c r="K332" s="118"/>
      <c r="L332" s="118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117"/>
      <c r="J333" s="118"/>
      <c r="K333" s="118"/>
      <c r="L333" s="118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117"/>
      <c r="J334" s="118"/>
      <c r="K334" s="118"/>
      <c r="L334" s="118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117"/>
      <c r="J335" s="118"/>
      <c r="K335" s="118"/>
      <c r="L335" s="118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117"/>
      <c r="J336" s="118"/>
      <c r="K336" s="118"/>
      <c r="L336" s="118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117"/>
      <c r="J337" s="118"/>
      <c r="K337" s="118"/>
      <c r="L337" s="118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117"/>
      <c r="J338" s="118"/>
      <c r="K338" s="118"/>
      <c r="L338" s="118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117"/>
      <c r="J339" s="118"/>
      <c r="K339" s="118"/>
      <c r="L339" s="118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117"/>
      <c r="J340" s="118"/>
      <c r="K340" s="118"/>
      <c r="L340" s="118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117"/>
      <c r="J341" s="118"/>
      <c r="K341" s="118"/>
      <c r="L341" s="118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117"/>
      <c r="J342" s="118"/>
      <c r="K342" s="118"/>
      <c r="L342" s="118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117"/>
      <c r="J343" s="118"/>
      <c r="K343" s="118"/>
      <c r="L343" s="118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117"/>
      <c r="J344" s="118"/>
      <c r="K344" s="118"/>
      <c r="L344" s="118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117"/>
      <c r="J345" s="118"/>
      <c r="K345" s="118"/>
      <c r="L345" s="118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117"/>
      <c r="J346" s="118"/>
      <c r="K346" s="118"/>
      <c r="L346" s="118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117"/>
      <c r="J347" s="118"/>
      <c r="K347" s="118"/>
      <c r="L347" s="118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117"/>
      <c r="J348" s="118"/>
      <c r="K348" s="118"/>
      <c r="L348" s="118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117"/>
      <c r="J349" s="118"/>
      <c r="K349" s="118"/>
      <c r="L349" s="118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117"/>
      <c r="J350" s="118"/>
      <c r="K350" s="118"/>
      <c r="L350" s="118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117"/>
      <c r="J351" s="118"/>
      <c r="K351" s="118"/>
      <c r="L351" s="118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117"/>
      <c r="J352" s="118"/>
      <c r="K352" s="118"/>
      <c r="L352" s="118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117"/>
      <c r="J353" s="118"/>
      <c r="K353" s="118"/>
      <c r="L353" s="118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117"/>
      <c r="J354" s="118"/>
      <c r="K354" s="118"/>
      <c r="L354" s="118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117"/>
      <c r="J355" s="118"/>
      <c r="K355" s="118"/>
      <c r="L355" s="118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117"/>
      <c r="J356" s="118"/>
      <c r="K356" s="118"/>
      <c r="L356" s="118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117"/>
      <c r="J357" s="118"/>
      <c r="K357" s="118"/>
      <c r="L357" s="118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117"/>
      <c r="J358" s="118"/>
      <c r="K358" s="118"/>
      <c r="L358" s="118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117"/>
      <c r="J359" s="118"/>
      <c r="K359" s="118"/>
      <c r="L359" s="118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117"/>
      <c r="J360" s="118"/>
      <c r="K360" s="118"/>
      <c r="L360" s="118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117"/>
      <c r="J361" s="118"/>
      <c r="K361" s="118"/>
      <c r="L361" s="118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117"/>
      <c r="J362" s="118"/>
      <c r="K362" s="118"/>
      <c r="L362" s="118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117"/>
      <c r="J363" s="118"/>
      <c r="K363" s="118"/>
      <c r="L363" s="118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117"/>
      <c r="J364" s="118"/>
      <c r="K364" s="118"/>
      <c r="L364" s="118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117"/>
      <c r="J365" s="118"/>
      <c r="K365" s="118"/>
      <c r="L365" s="118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117"/>
      <c r="J366" s="118"/>
      <c r="K366" s="118"/>
      <c r="L366" s="118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117"/>
      <c r="J367" s="118"/>
      <c r="K367" s="118"/>
      <c r="L367" s="118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117"/>
      <c r="J368" s="118"/>
      <c r="K368" s="118"/>
      <c r="L368" s="118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117"/>
      <c r="J369" s="118"/>
      <c r="K369" s="118"/>
      <c r="L369" s="118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117"/>
      <c r="J370" s="118"/>
      <c r="K370" s="118"/>
      <c r="L370" s="118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117"/>
      <c r="J371" s="118"/>
      <c r="K371" s="118"/>
      <c r="L371" s="118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117"/>
      <c r="J372" s="118"/>
      <c r="K372" s="118"/>
      <c r="L372" s="118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117"/>
      <c r="J373" s="118"/>
      <c r="K373" s="118"/>
      <c r="L373" s="118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117"/>
      <c r="J374" s="118"/>
      <c r="K374" s="118"/>
      <c r="L374" s="118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117"/>
      <c r="J375" s="118"/>
      <c r="K375" s="118"/>
      <c r="L375" s="118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117"/>
      <c r="J376" s="118"/>
      <c r="K376" s="118"/>
      <c r="L376" s="118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117"/>
      <c r="J377" s="118"/>
      <c r="K377" s="118"/>
      <c r="L377" s="118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117"/>
      <c r="J378" s="118"/>
      <c r="K378" s="118"/>
      <c r="L378" s="118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117"/>
      <c r="J379" s="118"/>
      <c r="K379" s="118"/>
      <c r="L379" s="118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117"/>
      <c r="J380" s="118"/>
      <c r="K380" s="118"/>
      <c r="L380" s="118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117"/>
      <c r="J381" s="118"/>
      <c r="K381" s="118"/>
      <c r="L381" s="118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117"/>
      <c r="J382" s="118"/>
      <c r="K382" s="118"/>
      <c r="L382" s="118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117"/>
      <c r="J383" s="118"/>
      <c r="K383" s="118"/>
      <c r="L383" s="118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mergeCells count="6">
    <mergeCell ref="A1:I1"/>
    <mergeCell ref="J1:M1"/>
    <mergeCell ref="A54:I54"/>
    <mergeCell ref="J54:M54"/>
    <mergeCell ref="A123:I123"/>
    <mergeCell ref="J123:M123"/>
  </mergeCells>
  <conditionalFormatting sqref="M3:M53 M56:M120 M122:M132">
    <cfRule type="cellIs" dxfId="6" priority="1" operator="greaterThan">
      <formula>0</formula>
    </cfRule>
  </conditionalFormatting>
  <conditionalFormatting sqref="M3:M53 M56:M120 M122:M132">
    <cfRule type="cellIs" dxfId="7" priority="2" operator="lessThanOrEqual">
      <formula>0</formula>
    </cfRule>
  </conditionalFormatting>
  <conditionalFormatting sqref="M125:M183">
    <cfRule type="cellIs" dxfId="6" priority="3" operator="greaterThan">
      <formula>0</formula>
    </cfRule>
  </conditionalFormatting>
  <conditionalFormatting sqref="M125:M183">
    <cfRule type="cellIs" dxfId="7" priority="4" operator="lessThanOrEqual">
      <formula>0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4" width="18.0"/>
    <col customWidth="1" min="5" max="5" width="20.0"/>
    <col customWidth="1" min="6" max="6" width="14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2">
        <v>165.0</v>
      </c>
      <c r="D2" s="2">
        <v>165.0</v>
      </c>
      <c r="E2" s="2">
        <v>0.0</v>
      </c>
      <c r="F2" s="2">
        <v>165.0</v>
      </c>
    </row>
    <row r="3">
      <c r="A3" s="2" t="s">
        <v>7</v>
      </c>
      <c r="B3" s="4">
        <v>46289.0</v>
      </c>
      <c r="C3" s="2">
        <v>146.7</v>
      </c>
      <c r="D3" s="3"/>
      <c r="E3" s="3"/>
      <c r="F3" s="2">
        <v>165.0</v>
      </c>
    </row>
    <row r="4">
      <c r="A4" s="2" t="s">
        <v>8</v>
      </c>
      <c r="B4" s="4">
        <v>46290.0</v>
      </c>
      <c r="C4" s="2">
        <v>128.3</v>
      </c>
      <c r="D4" s="3"/>
      <c r="E4" s="3"/>
      <c r="F4" s="2">
        <v>165.0</v>
      </c>
    </row>
    <row r="5">
      <c r="A5" s="2" t="s">
        <v>9</v>
      </c>
      <c r="B5" s="4">
        <v>46291.0</v>
      </c>
      <c r="C5" s="2">
        <v>110.0</v>
      </c>
      <c r="D5" s="3"/>
      <c r="E5" s="3"/>
      <c r="F5" s="2">
        <v>165.0</v>
      </c>
    </row>
    <row r="6">
      <c r="A6" s="2" t="s">
        <v>10</v>
      </c>
      <c r="B6" s="4">
        <v>46292.0</v>
      </c>
      <c r="C6" s="2">
        <v>91.7</v>
      </c>
      <c r="D6" s="3"/>
      <c r="E6" s="3"/>
      <c r="F6" s="2">
        <v>165.0</v>
      </c>
    </row>
    <row r="7">
      <c r="A7" s="2" t="s">
        <v>11</v>
      </c>
      <c r="B7" s="4">
        <v>46293.0</v>
      </c>
      <c r="C7" s="2">
        <v>73.3</v>
      </c>
      <c r="D7" s="3"/>
      <c r="E7" s="3"/>
      <c r="F7" s="2">
        <v>165.0</v>
      </c>
    </row>
    <row r="8">
      <c r="A8" s="2" t="s">
        <v>12</v>
      </c>
      <c r="B8" s="4">
        <v>46294.0</v>
      </c>
      <c r="C8" s="2">
        <v>55.0</v>
      </c>
      <c r="D8" s="3"/>
      <c r="E8" s="3"/>
      <c r="F8" s="2">
        <v>165.0</v>
      </c>
    </row>
    <row r="9">
      <c r="A9" s="2" t="s">
        <v>13</v>
      </c>
      <c r="B9" s="4">
        <v>46295.0</v>
      </c>
      <c r="C9" s="2">
        <v>36.7</v>
      </c>
      <c r="D9" s="3"/>
      <c r="E9" s="3"/>
      <c r="F9" s="2">
        <v>165.0</v>
      </c>
    </row>
    <row r="10">
      <c r="A10" s="2" t="s">
        <v>14</v>
      </c>
      <c r="B10" s="4">
        <v>46296.0</v>
      </c>
      <c r="C10" s="2">
        <v>18.3</v>
      </c>
      <c r="D10" s="3"/>
      <c r="E10" s="3"/>
      <c r="F10" s="2">
        <v>165.0</v>
      </c>
    </row>
    <row r="11">
      <c r="A11" s="2" t="s">
        <v>15</v>
      </c>
      <c r="B11" s="4">
        <v>46297.0</v>
      </c>
      <c r="C11" s="2">
        <v>0.0</v>
      </c>
      <c r="D11" s="3"/>
      <c r="E11" s="3"/>
      <c r="F11" s="2">
        <v>165.0</v>
      </c>
    </row>
    <row r="12">
      <c r="A12" s="3"/>
      <c r="B12" s="3"/>
      <c r="C12" s="3"/>
      <c r="D12" s="3"/>
      <c r="E12" s="3"/>
      <c r="F12" s="3"/>
    </row>
    <row r="13">
      <c r="A13" s="2" t="s">
        <v>16</v>
      </c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2026-09-25T01:01:53Z</dcterms:created>
  <dc:creator>openpyxl</dc:creator>
</cp:coreProperties>
</file>