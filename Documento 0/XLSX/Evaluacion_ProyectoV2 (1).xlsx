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Supuestos y CAPM" sheetId="2" r:id="rId5"/>
    <sheet state="visible" name="Costos RRHH" sheetId="3" r:id="rId6"/>
    <sheet state="visible" name="Licencias y Herramientas" sheetId="4" r:id="rId7"/>
    <sheet state="visible" name="Inversión Inicial" sheetId="5" r:id="rId8"/>
    <sheet state="visible" name="Flujo de Caja" sheetId="6" r:id="rId9"/>
    <sheet state="visible" name="Evaluación" sheetId="7" r:id="rId10"/>
    <sheet state="visible" name="Rendimiento" sheetId="8" r:id="rId11"/>
  </sheets>
  <definedNames/>
  <calcPr/>
  <extLst>
    <ext uri="GoogleSheetsCustomDataVersion2">
      <go:sheetsCustomData xmlns:go="http://customooxmlschemas.google.com/" r:id="rId12" roundtripDataChecksum="Fkbt3wpv2+D4nmHR01ttK0WFAO9LEsfSciV4BvF5V8E="/>
    </ext>
  </extLst>
</workbook>
</file>

<file path=xl/sharedStrings.xml><?xml version="1.0" encoding="utf-8"?>
<sst xmlns="http://schemas.openxmlformats.org/spreadsheetml/2006/main" count="442" uniqueCount="381">
  <si>
    <t>EVALUACIÓN DE PROYECTO — SISTEMA DE GESTIÓN DE INVENTARIO Y PERSONAL</t>
  </si>
  <si>
    <t>Minimarket y Panadería Huáscar — Rengo, Región de O'Higgins — Horizonte de análisis: 18 meses</t>
  </si>
  <si>
    <t>SUPUESTOS PRINCIPALES</t>
  </si>
  <si>
    <t>Concepto</t>
  </si>
  <si>
    <t>Valor</t>
  </si>
  <si>
    <t>Fuente / Observación</t>
  </si>
  <si>
    <t>Tasa de descuento mensual (CAPM)</t>
  </si>
  <si>
    <t>Calculada por CAPM — ver hoja 'Supuestos y CAPM'</t>
  </si>
  <si>
    <t>Tasa de descuento anual (CAPM)</t>
  </si>
  <si>
    <t>CAPM = Rf + β × (Rm - Rf), Chile 2026</t>
  </si>
  <si>
    <t>Período de desarrollo (meses)</t>
  </si>
  <si>
    <t>Período durante el cual se desarrolla el sistema antes de la puesta en marcha</t>
  </si>
  <si>
    <t>Horizonte de análisis (meses)</t>
  </si>
  <si>
    <t>Análisis de flujo de caja a 1 año calendario</t>
  </si>
  <si>
    <t>Beneficio mensual estimado (CLP)</t>
  </si>
  <si>
    <t>Ahorro por automatización + reducción 4% robos (ver Documento 0, §5)</t>
  </si>
  <si>
    <t>INDICADORES FINANCIEROS (HORIZONTE 18 MESES)</t>
  </si>
  <si>
    <t>Indicador</t>
  </si>
  <si>
    <t>Interpretación</t>
  </si>
  <si>
    <t>Inversión Inicial Total (CLP)</t>
  </si>
  <si>
    <t>RRHH desarrollo (4 meses) + Hardware + Setup inicial</t>
  </si>
  <si>
    <t>Costo Operativo Mensual (CLP)</t>
  </si>
  <si>
    <t>Soporte técnico post-implementación + GitHub Team</t>
  </si>
  <si>
    <t>Flujo Neto Mensual (CLP)</t>
  </si>
  <si>
    <t>Beneficio - Costo operativo</t>
  </si>
  <si>
    <t>Valor Actual Neto (VAN)</t>
  </si>
  <si>
    <t>VAN &gt; 0 → proyecto crea valor</t>
  </si>
  <si>
    <t>Tasa Interna de Retorno (TIR) mensual</t>
  </si>
  <si>
    <t>TIR &gt; tasa descuento → proyecto viable</t>
  </si>
  <si>
    <t>TIR anualizada equivalente</t>
  </si>
  <si>
    <t>TIR mensual llevada a base anual compuesta</t>
  </si>
  <si>
    <t>Retorno sobre Inversión (ROI 18 meses)</t>
  </si>
  <si>
    <t>(Beneficios netos 18m - Inversión) / Inversión</t>
  </si>
  <si>
    <t>Período de recuperación (meses)</t>
  </si>
  <si>
    <t>Meses para que el flujo acumulado descontado sea positivo</t>
  </si>
  <si>
    <t>NOTA METODOLÓGICA</t>
  </si>
  <si>
    <t>La tasa de descuento se calcula mediante el modelo CAPM con datos reales del mercado chileno a abril de 2026: tasa libre de riesgo del bono BTP a 10 años del Banco Central, beta del sector Software (System &amp; Application) de Damodaran, y rendimiento esperado del IPSA basado en su promedio histórico de largo plazo. Los sueldos reflejan valores de mercado IT Chile 2026 según guías de IT Hunters, Glassdoor y Computrabajo. El stack tecnológico es 100% open-source (MIT, Apache 2.0, Public Domain); los únicos costos monetarios son GitHub Team ($4 USD/usuario/mes) y el hardware lector EAN-13. El beneficio mensual de $4.000.000 refleja: reducción de 4% en robos (Doc. 0 §5), ahorro en tiempo de inventario manual, reducción de mermas por vencimiento y mejor toma de decisiones.</t>
  </si>
  <si>
    <t>BIBLIOGRAFÍA / FUENTES CONSULTADAS</t>
  </si>
  <si>
    <t>Concepto / Dato</t>
  </si>
  <si>
    <t>Fuente</t>
  </si>
  <si>
    <t>URL</t>
  </si>
  <si>
    <t>Rf — Tasa libre de riesgo (BTP-10 Chile)</t>
  </si>
  <si>
    <t>Tradingeconomics — Chile 10-Year Government Bond Yield</t>
  </si>
  <si>
    <t>https://tradingeconomics.com/chile/government-bond-yield</t>
  </si>
  <si>
    <t>Rf — Tasa libre de riesgo (BTP-10 Chile, en español)</t>
  </si>
  <si>
    <t>Tradingeconomics — Rendimiento de bonos Chile a 10 años</t>
  </si>
  <si>
    <t>https://es.tradingeconomics.com/chile/government-bond-yield</t>
  </si>
  <si>
    <t>Rf — Datos históricos BTP-10 Banco Central de Chile</t>
  </si>
  <si>
    <t>Banco Central de Chile — Base de Datos Estadísticos</t>
  </si>
  <si>
    <t>https://si3.bcentral.cl/Siete/ES/Siete/Cuadro/CAP_DYB/MN_ESTAD_MON55/EM_OMA_BTP10/E6212c</t>
  </si>
  <si>
    <t>β — Beta sector Software (System &amp; Application)</t>
  </si>
  <si>
    <t>Aswath Damodaran (NYU Stern) — Betas by Sector, enero 2026</t>
  </si>
  <si>
    <t>https://pages.stern.nyu.edu/~adamodar/New_Home_Page/datafile/Betas.html</t>
  </si>
  <si>
    <t>Rm — Rentabilidad IPSA 2025 (56,81%) y proyecciones 2026</t>
  </si>
  <si>
    <t>La Tercera — Pulso, enero 2026</t>
  </si>
  <si>
    <t>https://www.latercera.com/pulso/noticia/donde-invertir-en-2026-siete-expertos-dan-las-claves-en-acciones-deuda-y-la-inteligencia-artificial/</t>
  </si>
  <si>
    <t>Rm — Rendimiento IPSA 2025 (cierre)</t>
  </si>
  <si>
    <t>Emol — Resultados bolsa IPSA Chile 2025</t>
  </si>
  <si>
    <t>https://www.emol.com/noticias/Economia/2025/12/24/1186805/resultados-bolsa-ipsa-chile.html</t>
  </si>
  <si>
    <t>Rm — Ficha técnica índice IPSA</t>
  </si>
  <si>
    <t>S&amp;P Dow Jones Indices — S&amp;P IPSA</t>
  </si>
  <si>
    <t>https://www.spglobal.com/spdji/en/indices/equity/sp-ipsa/</t>
  </si>
  <si>
    <t>Sueldos IT Chile 2026 — Guía por rol y seniority</t>
  </si>
  <si>
    <t>CATED — Guía Sueldos Programador Chile 2026</t>
  </si>
  <si>
    <t>https://cated.cl/guia-sueldos</t>
  </si>
  <si>
    <t>Sueldos IT Chile 2026 — Medianas por cargo</t>
  </si>
  <si>
    <t>Computrabajo Chile — Salarios Developer 2026</t>
  </si>
  <si>
    <t>https://cl.computrabajo.com/salarios/developer</t>
  </si>
  <si>
    <t>Sueldos IT Chile 2026 — Rangos Santiago</t>
  </si>
  <si>
    <t>Glassdoor Chile — Software Developer Santiago</t>
  </si>
  <si>
    <t>https://www.glassdoor.com.mx/Sueldos/santiago-chile-software-developer-sueldo-SRCH_IL.0,14_IM1004_KO15,33.htm</t>
  </si>
  <si>
    <t>Banco Central de Chile — TPM y tasas de referencia</t>
  </si>
  <si>
    <t>Banco Central de Chile — Estadísticas</t>
  </si>
  <si>
    <t>https://www.bcentral.cl/areas/estadisticas</t>
  </si>
  <si>
    <t>Tipo de cambio CLP/USD</t>
  </si>
  <si>
    <t>Banco Central de Chile — Estadísticas cambiarias</t>
  </si>
  <si>
    <t>https://www.bcentral.cl/</t>
  </si>
  <si>
    <t>CÁLCULO DE LA TASA DE DESCUENTO — MODELO CAPM</t>
  </si>
  <si>
    <t>CAPM: R = Rf + β × (Rm − Rf)</t>
  </si>
  <si>
    <t>PARÁMETROS CAPM (MERCADO CHILENO, ABRIL 2026)</t>
  </si>
  <si>
    <t>Parámetro</t>
  </si>
  <si>
    <t>Rf — Tasa libre de riesgo (anual)</t>
  </si>
  <si>
    <t>BTP-10 Chile, rendimiento marzo 2026 (5,46%) — Tradingeconomics / Banco Central de Chile</t>
  </si>
  <si>
    <t>β — Beta desapalancado sector Software (System &amp; Application)</t>
  </si>
  <si>
    <t>Aswath Damodaran — Betas by Sector, enero 2026 (309 empresas, unlevered beta)</t>
  </si>
  <si>
    <t>Rm — Rentabilidad esperada del mercado (IPSA)</t>
  </si>
  <si>
    <t>Promedio histórico IPSA de largo plazo (~10–12%). 2025 fue atípico (56,8%); se usa valor conservador</t>
  </si>
  <si>
    <t>Premio por riesgo de mercado (Rm − Rf)</t>
  </si>
  <si>
    <t>Diferencia entre rentabilidad esperada del mercado y tasa libre de riesgo</t>
  </si>
  <si>
    <t>Premio ajustado por β: β × (Rm − Rf)</t>
  </si>
  <si>
    <t>Premio por riesgo sistemático ajustado al sector software</t>
  </si>
  <si>
    <t>RESULTADO CAPM</t>
  </si>
  <si>
    <t>Tasa de descuento ANUAL (CAPM)</t>
  </si>
  <si>
    <t>R = Rf + β × (Rm − Rf)</t>
  </si>
  <si>
    <t>Tasa de descuento MENSUAL equivalente</t>
  </si>
  <si>
    <t>Conversión anual → mensual compuesta: (1+R_anual)^(1/12) − 1</t>
  </si>
  <si>
    <t>OTROS PARÁMETROS DEL PROYECTO</t>
  </si>
  <si>
    <t>Tipo de cambio CLP/USD (referencia abril 2026)</t>
  </si>
  <si>
    <t>Tipo de cambio observado abril 2026 — Banco Central de Chile</t>
  </si>
  <si>
    <t>Factor costo indirecto (sobre sueldo bruto)</t>
  </si>
  <si>
    <t>AFP 11,5% + Salud 7% + Seguro Cesantía 0,6% + Mutual + Administración ≈ 30%</t>
  </si>
  <si>
    <t>Factor líquido → bruto (sueldo)</t>
  </si>
  <si>
    <t>Relación aproximada bruto/líquido considerando descuentos previsionales e impuesto único</t>
  </si>
  <si>
    <t>Ingresos mensuales Minimarket (CLP)</t>
  </si>
  <si>
    <t>Documento 0, §5: ventas aprox. $40M/mes</t>
  </si>
  <si>
    <t>Pérdidas mensuales estimadas por robos (% ventas)</t>
  </si>
  <si>
    <t>Documento 0, §5: 3,5%-4,5% (usamos 4% como base)</t>
  </si>
  <si>
    <t>NOTA SOBRE EL CÁLCULO CAPM</t>
  </si>
  <si>
    <t>El modelo CAPM (Capital Asset Pricing Model, Sharpe 1964) determina la rentabilidad mínima exigida a un proyecto en función de su riesgo sistemático. Aplicado a este proyecto:
• Rf (5,46%): rendimiento del bono BTP a 10 años del Banco Central de Chile (marzo 2026). Se elige la curva nominal en pesos porque el flujo de caja está en CLP nominales.
• β (1,23): beta desapalancado (unlevered) del sector 'Software (System &amp; Application)' reportado por Damodaran (enero 2026, 309 empresas). Se usa unlevered beta por ser la métrica adecuada para evaluar un proyecto sin estructura de capital definida.
• Rm (11,0%): rendimiento esperado del IPSA usando promedio histórico conservador. 2025 registró +56,81% (atípico); se usa 11% como proxy de largo plazo ajustado.
Resultado: tasa de descuento anual de aprox. 12,3%, equivalente a ~0,97% mensual. Esta tasa supera la tasa libre de riesgo, reflejando adecuadamente el riesgo incremental del proyecto.</t>
  </si>
  <si>
    <t>COSTOS DE RECURSOS HUMANOS — EQUIPO DE DESARROLLO (4 MESES)</t>
  </si>
  <si>
    <t>Sueldos de mercado IT Chile 2026 — fuentes: XIII Guía IT Hunters 2026, Glassdoor, CATED, Computrabajo</t>
  </si>
  <si>
    <t>Rol</t>
  </si>
  <si>
    <t>Cantidad</t>
  </si>
  <si>
    <t>Sueldo Líquido (CLP)</t>
  </si>
  <si>
    <t>Sueldo Bruto (CLP)</t>
  </si>
  <si>
    <t>Costo Empresa (Bruto + 30%) (CLP)</t>
  </si>
  <si>
    <t>Costo Total 4 Meses (CLP)</t>
  </si>
  <si>
    <t>Observación / Fuente</t>
  </si>
  <si>
    <t>Líder de Proyecto (Junior)</t>
  </si>
  <si>
    <t>PM recién titulado — IT Hunters 2026 Jr: $1,2M–$1,5M bruto</t>
  </si>
  <si>
    <t>Arquitecto de Software (Junior)</t>
  </si>
  <si>
    <t>Architect Jr recién titulado — CATED 2026 Jr: $1,2M–$1,5M bruto</t>
  </si>
  <si>
    <t>Desarrollador Backend (Junior)</t>
  </si>
  <si>
    <t>Node.js/Express Jr recién titulado — CATED 2026 Jr: $900K–$1,4M</t>
  </si>
  <si>
    <t>Desarrollador Frontend (Junior)</t>
  </si>
  <si>
    <t>React/TypeScript Jr recién titulado — CATED 2026 Jr: $900K–$1,4M</t>
  </si>
  <si>
    <t>Ingeniero DevOps (Junior)</t>
  </si>
  <si>
    <t>DevOps Jr recién titulado — IT Hunters 2026 Jr: $1,1M–$1,4M</t>
  </si>
  <si>
    <t>Ingeniero QA (Junior)</t>
  </si>
  <si>
    <t>QA Jr recién titulado — Glassdoor Chile 2026 Jr: $900K–$1,2M</t>
  </si>
  <si>
    <t>Analista de Negocio (Junior)</t>
  </si>
  <si>
    <t>Business Analyst Jr recién titulado — IT Hunters 2026 Jr: $1M–$1,3M</t>
  </si>
  <si>
    <t>TOTAL INVERSIÓN RRHH (4 meses desarrollo)</t>
  </si>
  <si>
    <t>—</t>
  </si>
  <si>
    <t>Suma de costos totales del equipo durante los 4 meses de desarrollo</t>
  </si>
  <si>
    <t>NOTA: El costo empresa incluye 30% de cargas sociales e indirectos (AFP 11,5% + Salud 7% + Seguro Cesantía 0,6% + Mutual + administración), según legislación laboral chilena. El sueldo bruto se deriva del líquido aplicando factor 1,25x (ver 'Supuestos y CAPM' celda B21). Fuentes: XIII Guía Salarial IT 2026 (IT Hunters, 105.000+ CVs), Glassdoor Chile marzo 2026, CATED Guía Sueldos 2026, Computrabajo Chile 2026.</t>
  </si>
  <si>
    <t>LICENCIAS, DEPENDENCIAS Y HERRAMIENTAS — DIMENSIÓN TÉCNICA</t>
  </si>
  <si>
    <t>Listado completo de componentes del stack — incluye licencias gratuitas (open source)</t>
  </si>
  <si>
    <t>Componente</t>
  </si>
  <si>
    <t>Categoría</t>
  </si>
  <si>
    <t>Versión</t>
  </si>
  <si>
    <t>Tipo Licencia</t>
  </si>
  <si>
    <t>Costo Único (CLP)</t>
  </si>
  <si>
    <t>Costo Mensual (CLP)</t>
  </si>
  <si>
    <t>Función / Referencia</t>
  </si>
  <si>
    <t>React</t>
  </si>
  <si>
    <t>Frontend</t>
  </si>
  <si>
    <t>19.2.5</t>
  </si>
  <si>
    <t>MIT (Gratis)</t>
  </si>
  <si>
    <t>Biblioteca UI declarativa — react.dev</t>
  </si>
  <si>
    <t>TypeScript</t>
  </si>
  <si>
    <t>6.0.3</t>
  </si>
  <si>
    <t>Apache 2.0 (Gratis)</t>
  </si>
  <si>
    <t>Superconjunto tipado de JavaScript — typescriptlang.org</t>
  </si>
  <si>
    <t>electron-vite</t>
  </si>
  <si>
    <t>Build Tool</t>
  </si>
  <si>
    <t>5.0.0</t>
  </si>
  <si>
    <t>Build unificado main/preload/renderer con HMR — electron-vite.org</t>
  </si>
  <si>
    <t>shadcn/ui</t>
  </si>
  <si>
    <t>Frontend UI</t>
  </si>
  <si>
    <t>4.3.1</t>
  </si>
  <si>
    <t>Componentes accesibles sobre Radix UI — ui.shadcn.com</t>
  </si>
  <si>
    <t>Tailwind CSS</t>
  </si>
  <si>
    <t>Frontend CSS</t>
  </si>
  <si>
    <t>4.2.4</t>
  </si>
  <si>
    <t>Framework CSS utility-first — tailwindcss.com</t>
  </si>
  <si>
    <t>Recharts</t>
  </si>
  <si>
    <t>Frontend Charts</t>
  </si>
  <si>
    <t>3.8.1</t>
  </si>
  <si>
    <t>Gráficos SVG para React (RF46) — recharts.org</t>
  </si>
  <si>
    <t>Node.js LTS</t>
  </si>
  <si>
    <t>Backend Runtime</t>
  </si>
  <si>
    <t>24.15.0</t>
  </si>
  <si>
    <t>Runtime JavaScript embebido en Electron</t>
  </si>
  <si>
    <t>Express</t>
  </si>
  <si>
    <t>Backend Framework</t>
  </si>
  <si>
    <t>5.2.1</t>
  </si>
  <si>
    <t>Framework HTTP minimalista — expressjs.com</t>
  </si>
  <si>
    <t>jsonwebtoken (JWT)</t>
  </si>
  <si>
    <t>Autenticación</t>
  </si>
  <si>
    <t>9.0.3</t>
  </si>
  <si>
    <t>Gestión de sesiones RFC 7519 (RF55)</t>
  </si>
  <si>
    <t>bcryptjs</t>
  </si>
  <si>
    <t>Seguridad</t>
  </si>
  <si>
    <t>3.0.3</t>
  </si>
  <si>
    <t>Hashing de contraseñas con sal (RNF04)</t>
  </si>
  <si>
    <t>libSQL</t>
  </si>
  <si>
    <t>Base de Datos</t>
  </si>
  <si>
    <t>0.17.2</t>
  </si>
  <si>
    <t>Fork open source de SQLite con replicación nativa — turso.tech</t>
  </si>
  <si>
    <t>@libsql/client</t>
  </si>
  <si>
    <t>DB Binding</t>
  </si>
  <si>
    <t>Cliente oficial libSQL con sync engine de embedded replicas</t>
  </si>
  <si>
    <t>Turso Cloud</t>
  </si>
  <si>
    <t>DB Hospedada</t>
  </si>
  <si>
    <t>Plan Free</t>
  </si>
  <si>
    <t>Gratis hasta 9 GB/ 1B lecturas mes</t>
  </si>
  <si>
    <t>Hospedaje gestionado libSQL en sa-east-1 (São Paulo) — turso.tech</t>
  </si>
  <si>
    <t>Drizzle ORM</t>
  </si>
  <si>
    <t>ORM</t>
  </si>
  <si>
    <t>0.45.2</t>
  </si>
  <si>
    <t>ORM SQL-first con TypeScript — orm.drizzle.team</t>
  </si>
  <si>
    <t>Electron</t>
  </si>
  <si>
    <t>Framework Escritorio</t>
  </si>
  <si>
    <t>41.3.0</t>
  </si>
  <si>
    <t>Framework multiplataforma Chromium + Node — electronjs.org</t>
  </si>
  <si>
    <t>electron-builder</t>
  </si>
  <si>
    <t>Empaquetado</t>
  </si>
  <si>
    <t>26.8.2</t>
  </si>
  <si>
    <t>Generador de instaladores NSIS (RNF05) — electron.build</t>
  </si>
  <si>
    <t>electron-updater</t>
  </si>
  <si>
    <t>Actualizaciones</t>
  </si>
  <si>
    <t>26.8.3</t>
  </si>
  <si>
    <t>Actualizaciones automáticas vía GitHub Releases</t>
  </si>
  <si>
    <t>electron-log</t>
  </si>
  <si>
    <t>Observabilidad</t>
  </si>
  <si>
    <t>5.4.3</t>
  </si>
  <si>
    <t>Logging local con rotación (RNF09)</t>
  </si>
  <si>
    <t>GitHub Actions</t>
  </si>
  <si>
    <t>CI/CD</t>
  </si>
  <si>
    <t>Actual</t>
  </si>
  <si>
    <t>Incluido en GitHub Team</t>
  </si>
  <si>
    <t>Pipeline: tests + build + release (3.000 min/mes incluidos en Team)</t>
  </si>
  <si>
    <t>GitHub Releases</t>
  </si>
  <si>
    <t>Distribución</t>
  </si>
  <si>
    <t>Incluido en GitHub (Gratis)</t>
  </si>
  <si>
    <t>Hosting de instaladores para electron-updater</t>
  </si>
  <si>
    <t>GitHub (7 usuarios)</t>
  </si>
  <si>
    <t>Plataforma Dev</t>
  </si>
  <si>
    <t>Suscripción USD$4/user/mes</t>
  </si>
  <si>
    <t xml:space="preserve">
Repos ilimitados + 2.000 min Actions/mes + 500 MB Packages — suficiente para proyectos públicos o equipos sin necesidad de protecciones avanzadas</t>
  </si>
  <si>
    <t>Vitest</t>
  </si>
  <si>
    <t>Testing Unitario</t>
  </si>
  <si>
    <t>4.1.4</t>
  </si>
  <si>
    <t>Framework de pruebas unitarias — vitest.dev</t>
  </si>
  <si>
    <t>Playwright</t>
  </si>
  <si>
    <t>Testing E2E</t>
  </si>
  <si>
    <t>1.59.1</t>
  </si>
  <si>
    <t>Pruebas end-to-end para Electron — playwright.dev</t>
  </si>
  <si>
    <t>exceljs</t>
  </si>
  <si>
    <t>Exportación Excel</t>
  </si>
  <si>
    <t>4.4.0</t>
  </si>
  <si>
    <t>Generación de .xlsx nativo (RNF15)</t>
  </si>
  <si>
    <t>printToPDF (Electron)</t>
  </si>
  <si>
    <t>Exportación PDF</t>
  </si>
  <si>
    <t>Embebido</t>
  </si>
  <si>
    <t>API nativa de Electron para PDF (RNF14)</t>
  </si>
  <si>
    <t>Hardware: Lector EAN-13 HID USB</t>
  </si>
  <si>
    <t>Hardware</t>
  </si>
  <si>
    <t>Unidad</t>
  </si>
  <si>
    <t>Compra única</t>
  </si>
  <si>
    <t>Lector HID sin drivers adicionales (RF59) — precio retail Chile 2026</t>
  </si>
  <si>
    <t>Soporte Técnico Post-Implementación</t>
  </si>
  <si>
    <t>Operación</t>
  </si>
  <si>
    <t>1 dev Jr media jornada</t>
  </si>
  <si>
    <t>Mantención correctiva y evolutiva (1 dev Junior × 50% dedicación)</t>
  </si>
  <si>
    <t>TOTALES</t>
  </si>
  <si>
    <t>INVERSIÓN INICIAL Y COSTOS OPERATIVOS</t>
  </si>
  <si>
    <t>INVERSIÓN INICIAL (PERÍODO 0)</t>
  </si>
  <si>
    <t>Monto (CLP)</t>
  </si>
  <si>
    <t>Observación</t>
  </si>
  <si>
    <t>Costos RRHH (equipo desarrollo × 4 meses)</t>
  </si>
  <si>
    <t>Total costo empresa del equipo completo durante desarrollo</t>
  </si>
  <si>
    <t>Compra única del lector de código de barras</t>
  </si>
  <si>
    <t>Setup infraestructura (Cloudflare R2, GitHub repos)</t>
  </si>
  <si>
    <t>Configuración inicial sin costo (tier gratuito + plan Team ya contabilizado)</t>
  </si>
  <si>
    <t>Capacitación inicial usuarios (dueño + cajeros)</t>
  </si>
  <si>
    <t>Asumida dentro del rol del Analista de Negocio (documentación y entrega)</t>
  </si>
  <si>
    <t>Subtotal Licencias + Hardware</t>
  </si>
  <si>
    <t>INVERSIÓN TOTAL INICIAL</t>
  </si>
  <si>
    <t>COSTOS OPERATIVOS MENSUALES (POST-IMPLEMENTACIÓN)</t>
  </si>
  <si>
    <t>Monto Mensual (CLP)</t>
  </si>
  <si>
    <t>Soporte técnico (1 dev media jornada)</t>
  </si>
  <si>
    <t>Mantención correctiva y evolutiva post-implementación</t>
  </si>
  <si>
    <t>Infraestructura nube (Cloudflare R2)</t>
  </si>
  <si>
    <t>Tier gratuito cubre uso del proyecto (≤350 MB/mes vs 10 GB disponibles)</t>
  </si>
  <si>
    <t>COSTO OPERATIVO MENSUAL TOTAL</t>
  </si>
  <si>
    <t>FLUJO DE CAJA PROYECTADO — HORIZONTE 18 MESES</t>
  </si>
  <si>
    <t>Tasa de descuento: CAPM mensual (ver 'Supuestos y CAPM')  |  Inversión inicial en Período 0</t>
  </si>
  <si>
    <t>Período</t>
  </si>
  <si>
    <t>Beneficio Bruto (CLP)</t>
  </si>
  <si>
    <t>Costo Operativo (CLP)</t>
  </si>
  <si>
    <t>Inversión (CLP)</t>
  </si>
  <si>
    <t>Flujo Neto (CLP)</t>
  </si>
  <si>
    <t>Flujo Descontado (CLP)</t>
  </si>
  <si>
    <t>Flujo Acumulado Desc. (CLP)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</si>
  <si>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</si>
  <si>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</si>
  <si>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</si>
  <si>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</si>
  <si>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</si>
  <si>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</si>
  <si>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</si>
  <si>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</si>
  <si>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</si>
  <si>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</si>
  <si>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</si>
  <si>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</si>
  <si>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</si>
  <si>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</si>
  <si>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</si>
  <si>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</si>
  <si>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</si>
  <si>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</si>
  <si>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</si>
  <si>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TOTAL 18m</t>
  </si>
  <si>
    <t>INDICADORES FINANCIEROS</t>
  </si>
  <si>
    <t>Fórmula / Interpretación</t>
  </si>
  <si>
    <t>VAN (Valor Actual Neto)</t>
  </si>
  <si>
    <t>Suma de flujos descontados al Período 0 — si &gt;0, proyecto crea valor</t>
  </si>
  <si>
    <t>TIR Mensual</t>
  </si>
  <si>
    <t>Tasa a la cual el VAN = 0. Si &gt; tasa CAPM mensual → proyecto viable</t>
  </si>
  <si>
    <t>Período de Recuperación (meses)</t>
  </si>
  <si>
    <t>Al mes 16 comienza a recuperar</t>
  </si>
  <si>
    <t>Número de meses para que el flujo acumulado descontado sea positivo</t>
  </si>
  <si>
    <t>EVALUACIÓN ECONÓMICA DEL PROYECTO (18 MESES)</t>
  </si>
  <si>
    <t>Inversion Inicial</t>
  </si>
  <si>
    <t>Costo</t>
  </si>
  <si>
    <t>Costos Operativos Mensuales</t>
  </si>
  <si>
    <t>Equipo desarrollo (7 roles × 4 meses)</t>
  </si>
  <si>
    <t>$ 44.720.200</t>
  </si>
  <si>
    <t>Soporte técnico</t>
  </si>
  <si>
    <t>$ 780.000</t>
  </si>
  <si>
    <t>Costo RRHH Total (4 meses desarrollo)</t>
  </si>
  <si>
    <t>Equipo 7 personas × 4 meses (ver hoja 'Costos RRHH')</t>
  </si>
  <si>
    <t>Hardware lector EAN-13</t>
  </si>
  <si>
    <t>$ 50.000</t>
  </si>
  <si>
    <t>Cloudflare R2 (cloud)</t>
  </si>
  <si>
    <t xml:space="preserve">$0 </t>
  </si>
  <si>
    <t>Costo Licencias y Hardware (inicial)</t>
  </si>
  <si>
    <t>Incluye GitHub Team 4 meses + lector EAN-13</t>
  </si>
  <si>
    <t>Repositorio GitHub Team</t>
  </si>
  <si>
    <t>$ 0</t>
  </si>
  <si>
    <t>GitHub Team (mantención)</t>
  </si>
  <si>
    <t>Costo Total Inversión Inicial</t>
  </si>
  <si>
    <t>Monto a invertir en Período 0 (antes de iniciar operación)</t>
  </si>
  <si>
    <t>Cloudflare R2 (setup)</t>
  </si>
  <si>
    <t>SQLite + stack open-source</t>
  </si>
  <si>
    <t>Costo Operativo (18 meses)</t>
  </si>
  <si>
    <t>Soporte post-implementación</t>
  </si>
  <si>
    <t>SQLite + stack tecnológico</t>
  </si>
  <si>
    <t>Beneficio Mensual</t>
  </si>
  <si>
    <t>Documento 0 §5: ~4% ventas = $1,6M + ahorros operacionales</t>
  </si>
  <si>
    <t>TOTAL</t>
  </si>
  <si>
    <t>$ 44.770.000</t>
  </si>
  <si>
    <t>$ 780.000/Mensual</t>
  </si>
  <si>
    <t>Beneficio Anual (18 meses)</t>
  </si>
  <si>
    <t>Ahorro total estimado en un año de operación</t>
  </si>
  <si>
    <t>Ganancia Bruta Anual (Benef - Costo Op.)</t>
  </si>
  <si>
    <t>Sin considerar la inversión inicial</t>
  </si>
  <si>
    <t>Flujo Neto 18 meses (Ganancia - Inversión)</t>
  </si>
  <si>
    <t>Resultado neto al cabo de 18 meses</t>
  </si>
  <si>
    <t>VAN (18meses, descontado a CAPM)</t>
  </si>
  <si>
    <t>Valor presente neto usando tasa CAPM mensual</t>
  </si>
  <si>
    <t>Si &gt; tasa descuento mensual → proyecto financieramente viable</t>
  </si>
  <si>
    <t>TIR Anual equivalente</t>
  </si>
  <si>
    <t>Tasa interna de retorno expresada en base anual</t>
  </si>
  <si>
    <t>ROI (18 meses)</t>
  </si>
  <si>
    <t>Rentabilidad total del proyecto en el primer año</t>
  </si>
  <si>
    <t>Tiempo en meses para recuperar la inversión inicial descontada</t>
  </si>
  <si>
    <t>RENDIMIENTO E INDICADORES CLAVE DEL PROYECTO</t>
  </si>
  <si>
    <t>Inversión Inicial</t>
  </si>
  <si>
    <t>Capital requerido antes del inicio de operaciones</t>
  </si>
  <si>
    <t>Costo Operativo Mensual</t>
  </si>
  <si>
    <t>Ahorro mensual estimado al operar el sistema</t>
  </si>
  <si>
    <t>Flujo Neto Mensual</t>
  </si>
  <si>
    <t>Ganancia neta operativa mensual</t>
  </si>
  <si>
    <t>Tasa de Descuento CAPM (mensual)</t>
  </si>
  <si>
    <t>Costo de oportunidad ajustado al riesgo sistemático del sector</t>
  </si>
  <si>
    <t>Tasa de Descuento CAPM (anual)</t>
  </si>
  <si>
    <t>Equivalente anual de la tasa de descuento</t>
  </si>
  <si>
    <t>VAN (12 meses)</t>
  </si>
  <si>
    <t>Valor positivo indica que el proyecto genera valor neto al inversionista</t>
  </si>
  <si>
    <t>Rentabilidad intrínseca del proyecto (tasa que hace VAN = 0)</t>
  </si>
  <si>
    <t>Spread TIR − Tasa Descuento (mensual)</t>
  </si>
  <si>
    <t>Diferencia entre la TIR y la tasa de descuento — positivo indica viabilidad</t>
  </si>
  <si>
    <t>ROI (12 meses)</t>
  </si>
  <si>
    <t>Retorno sobre la inversión total al cabo de 1 año</t>
  </si>
  <si>
    <t>Período de recuperación</t>
  </si>
  <si>
    <t>Margen operacional mensual</t>
  </si>
  <si>
    <t>Proporción del beneficio que queda después de costos operativos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</si>
</sst>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%;[RED]\-0.0000%;\-"/>
    <numFmt numFmtId="165" formatCode="0.00%;[RED]\-0.00%;\-"/>
    <numFmt numFmtId="166" formatCode="_-\$* #,##0_-;[RED]&quot;-$&quot;* #,##0_-;_-\$* \-_-;_-@"/>
    <numFmt numFmtId="167" formatCode="#,##0.00;(#,##0.00)"/>
  </numFmts>
  <fonts count="7">
    <font>
      <sz val="11.0"/>
      <color theme="1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0"/>
    </xf>
    <xf borderId="1" fillId="0" fontId="2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shrinkToFit="0" vertical="center" wrapText="0"/>
    </xf>
    <xf borderId="4" fillId="0" fontId="3" numFmtId="165" xfId="0" applyAlignment="1" applyBorder="1" applyFont="1" applyNumberFormat="1">
      <alignment shrinkToFit="0" vertical="center" wrapText="0"/>
    </xf>
    <xf borderId="4" fillId="0" fontId="3" numFmtId="3" xfId="0" applyAlignment="1" applyBorder="1" applyFont="1" applyNumberFormat="1">
      <alignment shrinkToFit="0" vertical="center" wrapText="0"/>
    </xf>
    <xf borderId="4" fillId="0" fontId="3" numFmtId="3" xfId="0" applyAlignment="1" applyBorder="1" applyFont="1" applyNumberFormat="1">
      <alignment readingOrder="0" shrinkToFit="0" vertical="center" wrapText="0"/>
    </xf>
    <xf borderId="4" fillId="0" fontId="3" numFmtId="166" xfId="0" applyAlignment="1" applyBorder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2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2" numFmtId="165" xfId="0" applyAlignment="1" applyBorder="1" applyFont="1" applyNumberFormat="1">
      <alignment shrinkToFit="0" vertical="center" wrapText="0"/>
    </xf>
    <xf borderId="4" fillId="0" fontId="2" numFmtId="164" xfId="0" applyAlignment="1" applyBorder="1" applyFont="1" applyNumberFormat="1">
      <alignment shrinkToFit="0" vertical="center" wrapText="0"/>
    </xf>
    <xf borderId="4" fillId="0" fontId="3" numFmtId="3" xfId="0" applyAlignment="1" applyBorder="1" applyFont="1" applyNumberFormat="1">
      <alignment horizontal="right" shrinkToFit="0" vertical="center" wrapText="0"/>
    </xf>
    <xf borderId="4" fillId="0" fontId="3" numFmtId="166" xfId="0" applyAlignment="1" applyBorder="1" applyFont="1" applyNumberFormat="1">
      <alignment horizontal="right"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0" fontId="2" numFmtId="3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4" fillId="0" fontId="2" numFmtId="166" xfId="0" applyAlignment="1" applyBorder="1" applyFont="1" applyNumberFormat="1">
      <alignment shrinkToFit="0" vertical="center" wrapText="0"/>
    </xf>
    <xf borderId="0" fillId="0" fontId="6" numFmtId="49" xfId="0" applyAlignment="1" applyFont="1" applyNumberFormat="1">
      <alignment readingOrder="0"/>
    </xf>
    <xf borderId="4" fillId="0" fontId="3" numFmtId="49" xfId="0" applyAlignment="1" applyBorder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6" numFmtId="166" xfId="0" applyFont="1" applyNumberFormat="1"/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166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4" fillId="0" fontId="2" numFmtId="3" xfId="0" applyAlignment="1" applyBorder="1" applyFont="1" applyNumberFormat="1">
      <alignment readingOrder="0" shrinkToFit="0" vertical="center" wrapText="0"/>
    </xf>
    <xf borderId="4" fillId="0" fontId="6" numFmtId="0" xfId="0" applyAlignment="1" applyBorder="1" applyFont="1">
      <alignment readingOrder="0"/>
    </xf>
    <xf borderId="4" fillId="0" fontId="6" numFmtId="3" xfId="0" applyAlignment="1" applyBorder="1" applyFont="1" applyNumberFormat="1">
      <alignment readingOrder="0"/>
    </xf>
    <xf borderId="0" fillId="0" fontId="6" numFmtId="0" xfId="0" applyAlignment="1" applyFont="1">
      <alignment readingOrder="0"/>
    </xf>
    <xf borderId="4" fillId="0" fontId="6" numFmtId="167" xfId="0" applyAlignment="1" applyBorder="1" applyFont="1" applyNumberFormat="1">
      <alignment readingOrder="0"/>
    </xf>
    <xf borderId="0" fillId="0" fontId="6" numFmtId="3" xfId="0" applyAlignment="1" applyFont="1" applyNumberFormat="1">
      <alignment readingOrder="0"/>
    </xf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central.cl/areas/estadisticas" TargetMode="External"/><Relationship Id="rId10" Type="http://schemas.openxmlformats.org/officeDocument/2006/relationships/hyperlink" Target="https://www.glassdoor.com.mx/Sueldos/santiago-chile-software-developer-sueldo-SRCH_IL.0,14_IM1004_KO15,33.ht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bcentral.cl/" TargetMode="External"/><Relationship Id="rId1" Type="http://schemas.openxmlformats.org/officeDocument/2006/relationships/hyperlink" Target="https://tradingeconomics.com/chile/government-bond-yield" TargetMode="External"/><Relationship Id="rId2" Type="http://schemas.openxmlformats.org/officeDocument/2006/relationships/hyperlink" Target="https://es.tradingeconomics.com/chile/government-bond-yield" TargetMode="External"/><Relationship Id="rId3" Type="http://schemas.openxmlformats.org/officeDocument/2006/relationships/hyperlink" Target="https://si3.bcentral.cl/Siete/ES/Siete/Cuadro/CAP_DYB/MN_ESTAD_MON55/EM_OMA_BTP10/E6212c" TargetMode="External"/><Relationship Id="rId4" Type="http://schemas.openxmlformats.org/officeDocument/2006/relationships/hyperlink" Target="https://pages.stern.nyu.edu/~adamodar/New_Home_Page/datafile/Betas.html" TargetMode="External"/><Relationship Id="rId9" Type="http://schemas.openxmlformats.org/officeDocument/2006/relationships/hyperlink" Target="https://cl.computrabajo.com/salarios/developer" TargetMode="External"/><Relationship Id="rId5" Type="http://schemas.openxmlformats.org/officeDocument/2006/relationships/hyperlink" Target="https://www.latercera.com/pulso/noticia/donde-invertir-en-2026-siete-expertos-dan-las-claves-en-acciones-deuda-y-la-inteligencia-artificial/" TargetMode="External"/><Relationship Id="rId6" Type="http://schemas.openxmlformats.org/officeDocument/2006/relationships/hyperlink" Target="https://www.emol.com/noticias/Economia/2025/12/24/1186805/resultados-bolsa-ipsa-chile.html" TargetMode="External"/><Relationship Id="rId7" Type="http://schemas.openxmlformats.org/officeDocument/2006/relationships/hyperlink" Target="https://www.spglobal.com/spdji/en/indices/equity/sp-ipsa/" TargetMode="External"/><Relationship Id="rId8" Type="http://schemas.openxmlformats.org/officeDocument/2006/relationships/hyperlink" Target="https://cated.cl/guia-sueldo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38.0"/>
    <col customWidth="1" min="3" max="3" width="70.0"/>
    <col customWidth="1" min="4" max="26" width="8.71"/>
  </cols>
  <sheetData>
    <row r="1" ht="27.75" customHeight="1">
      <c r="A1" s="1" t="s">
        <v>0</v>
      </c>
    </row>
    <row r="2" ht="19.5" customHeight="1">
      <c r="A2" s="2" t="s">
        <v>1</v>
      </c>
    </row>
    <row r="3">
      <c r="A3" s="3"/>
      <c r="B3" s="3"/>
      <c r="C3" s="3"/>
    </row>
    <row r="4" ht="15.0" customHeight="1">
      <c r="A4" s="4" t="s">
        <v>2</v>
      </c>
      <c r="B4" s="5"/>
      <c r="C4" s="6"/>
    </row>
    <row r="5">
      <c r="A5" s="7" t="s">
        <v>3</v>
      </c>
      <c r="B5" s="7" t="s">
        <v>4</v>
      </c>
      <c r="C5" s="7" t="s">
        <v>5</v>
      </c>
    </row>
    <row r="6">
      <c r="A6" s="8" t="s">
        <v>6</v>
      </c>
      <c r="B6" s="9">
        <f>'Supuestos y CAPM'!B15</f>
        <v>0.009694515935</v>
      </c>
      <c r="C6" s="8" t="s">
        <v>7</v>
      </c>
    </row>
    <row r="7">
      <c r="A7" s="8" t="s">
        <v>8</v>
      </c>
      <c r="B7" s="10">
        <f>'Supuestos y CAPM'!B14</f>
        <v>0.122742</v>
      </c>
      <c r="C7" s="8" t="s">
        <v>9</v>
      </c>
    </row>
    <row r="8">
      <c r="A8" s="8" t="s">
        <v>10</v>
      </c>
      <c r="B8" s="11">
        <v>4.0</v>
      </c>
      <c r="C8" s="8" t="s">
        <v>11</v>
      </c>
    </row>
    <row r="9">
      <c r="A9" s="8" t="s">
        <v>12</v>
      </c>
      <c r="B9" s="12">
        <v>18.0</v>
      </c>
      <c r="C9" s="8" t="s">
        <v>13</v>
      </c>
    </row>
    <row r="10">
      <c r="A10" s="8" t="s">
        <v>14</v>
      </c>
      <c r="B10" s="13">
        <v>4000000.0</v>
      </c>
      <c r="C10" s="8" t="s">
        <v>15</v>
      </c>
    </row>
    <row r="11">
      <c r="A11" s="3"/>
      <c r="B11" s="3"/>
      <c r="C11" s="3"/>
    </row>
    <row r="12">
      <c r="A12" s="14" t="s">
        <v>16</v>
      </c>
    </row>
    <row r="13">
      <c r="A13" s="7" t="s">
        <v>17</v>
      </c>
      <c r="B13" s="7" t="s">
        <v>4</v>
      </c>
      <c r="C13" s="7" t="s">
        <v>18</v>
      </c>
    </row>
    <row r="14">
      <c r="A14" s="8" t="s">
        <v>19</v>
      </c>
      <c r="B14" s="13">
        <f>'Inversión Inicial'!B11</f>
        <v>44770000</v>
      </c>
      <c r="C14" s="8" t="s">
        <v>20</v>
      </c>
    </row>
    <row r="15">
      <c r="A15" s="8" t="s">
        <v>21</v>
      </c>
      <c r="B15" s="13">
        <f>'Inversión Inicial'!B18</f>
        <v>780000</v>
      </c>
      <c r="C15" s="8" t="s">
        <v>22</v>
      </c>
    </row>
    <row r="16">
      <c r="A16" s="8" t="s">
        <v>23</v>
      </c>
      <c r="B16" s="13">
        <f>B10-B15</f>
        <v>3220000</v>
      </c>
      <c r="C16" s="8" t="s">
        <v>24</v>
      </c>
    </row>
    <row r="17">
      <c r="A17" s="8" t="s">
        <v>25</v>
      </c>
      <c r="B17" s="13">
        <f>'Flujo de Caja'!B28</f>
        <v>8180163.889</v>
      </c>
      <c r="C17" s="8" t="s">
        <v>26</v>
      </c>
    </row>
    <row r="18">
      <c r="A18" s="8" t="s">
        <v>27</v>
      </c>
      <c r="B18" s="9">
        <f>'Flujo de Caja'!B29</f>
        <v>0.02871839563</v>
      </c>
      <c r="C18" s="8" t="s">
        <v>28</v>
      </c>
    </row>
    <row r="19">
      <c r="A19" s="8" t="s">
        <v>29</v>
      </c>
      <c r="B19" s="10">
        <f>(1+B18)^12-1</f>
        <v>0.4046174902</v>
      </c>
      <c r="C19" s="8" t="s">
        <v>30</v>
      </c>
    </row>
    <row r="20">
      <c r="A20" s="15" t="s">
        <v>31</v>
      </c>
      <c r="B20" s="10">
        <f>(B10*18-B15*18-B14)/B14</f>
        <v>0.294616931</v>
      </c>
      <c r="C20" s="15" t="s">
        <v>32</v>
      </c>
    </row>
    <row r="21" ht="15.75" customHeight="1">
      <c r="A21" s="8" t="s">
        <v>33</v>
      </c>
      <c r="B21" s="11" t="str">
        <f>'Flujo de Caja'!B30</f>
        <v>Al mes 16 comienza a recuperar</v>
      </c>
      <c r="C21" s="8" t="s">
        <v>34</v>
      </c>
    </row>
    <row r="22" ht="15.75" customHeight="1">
      <c r="A22" s="3"/>
      <c r="B22" s="3"/>
      <c r="C22" s="3"/>
    </row>
    <row r="23" ht="15.75" customHeight="1">
      <c r="A23" s="16" t="s">
        <v>35</v>
      </c>
    </row>
    <row r="24" ht="68.25" customHeight="1">
      <c r="A24" s="17" t="s">
        <v>36</v>
      </c>
    </row>
    <row r="25" ht="15.75" customHeight="1">
      <c r="A25" s="3"/>
      <c r="B25" s="3"/>
      <c r="C25" s="3"/>
    </row>
    <row r="26" ht="15.75" customHeight="1">
      <c r="A26" s="16" t="s">
        <v>37</v>
      </c>
    </row>
    <row r="27" ht="15.75" customHeight="1">
      <c r="A27" s="7" t="s">
        <v>38</v>
      </c>
      <c r="B27" s="7" t="s">
        <v>39</v>
      </c>
      <c r="C27" s="7" t="s">
        <v>40</v>
      </c>
    </row>
    <row r="28" ht="27.75" customHeight="1">
      <c r="A28" s="8" t="s">
        <v>41</v>
      </c>
      <c r="B28" s="8" t="s">
        <v>42</v>
      </c>
      <c r="C28" s="18" t="s">
        <v>43</v>
      </c>
    </row>
    <row r="29" ht="27.75" customHeight="1">
      <c r="A29" s="8" t="s">
        <v>44</v>
      </c>
      <c r="B29" s="8" t="s">
        <v>45</v>
      </c>
      <c r="C29" s="18" t="s">
        <v>46</v>
      </c>
    </row>
    <row r="30" ht="27.75" customHeight="1">
      <c r="A30" s="8" t="s">
        <v>47</v>
      </c>
      <c r="B30" s="8" t="s">
        <v>48</v>
      </c>
      <c r="C30" s="18" t="s">
        <v>49</v>
      </c>
    </row>
    <row r="31" ht="27.75" customHeight="1">
      <c r="A31" s="8" t="s">
        <v>50</v>
      </c>
      <c r="B31" s="8" t="s">
        <v>51</v>
      </c>
      <c r="C31" s="18" t="s">
        <v>52</v>
      </c>
    </row>
    <row r="32" ht="27.75" customHeight="1">
      <c r="A32" s="8" t="s">
        <v>53</v>
      </c>
      <c r="B32" s="8" t="s">
        <v>54</v>
      </c>
      <c r="C32" s="18" t="s">
        <v>55</v>
      </c>
    </row>
    <row r="33" ht="27.75" customHeight="1">
      <c r="A33" s="8" t="s">
        <v>56</v>
      </c>
      <c r="B33" s="8" t="s">
        <v>57</v>
      </c>
      <c r="C33" s="18" t="s">
        <v>58</v>
      </c>
    </row>
    <row r="34" ht="27.75" customHeight="1">
      <c r="A34" s="8" t="s">
        <v>59</v>
      </c>
      <c r="B34" s="8" t="s">
        <v>60</v>
      </c>
      <c r="C34" s="18" t="s">
        <v>61</v>
      </c>
    </row>
    <row r="35" ht="27.75" customHeight="1">
      <c r="A35" s="8" t="s">
        <v>62</v>
      </c>
      <c r="B35" s="8" t="s">
        <v>63</v>
      </c>
      <c r="C35" s="18" t="s">
        <v>64</v>
      </c>
    </row>
    <row r="36" ht="27.75" customHeight="1">
      <c r="A36" s="8" t="s">
        <v>65</v>
      </c>
      <c r="B36" s="8" t="s">
        <v>66</v>
      </c>
      <c r="C36" s="18" t="s">
        <v>67</v>
      </c>
    </row>
    <row r="37" ht="27.75" customHeight="1">
      <c r="A37" s="8" t="s">
        <v>68</v>
      </c>
      <c r="B37" s="8" t="s">
        <v>69</v>
      </c>
      <c r="C37" s="18" t="s">
        <v>70</v>
      </c>
    </row>
    <row r="38" ht="27.75" customHeight="1">
      <c r="A38" s="8" t="s">
        <v>71</v>
      </c>
      <c r="B38" s="8" t="s">
        <v>72</v>
      </c>
      <c r="C38" s="18" t="s">
        <v>73</v>
      </c>
    </row>
    <row r="39" ht="27.75" customHeight="1">
      <c r="A39" s="8" t="s">
        <v>74</v>
      </c>
      <c r="B39" s="8" t="s">
        <v>75</v>
      </c>
      <c r="C39" s="18" t="s">
        <v>76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1:C1"/>
    <mergeCell ref="A2:C2"/>
    <mergeCell ref="A4:C4"/>
    <mergeCell ref="A12:C12"/>
    <mergeCell ref="A23:C23"/>
    <mergeCell ref="A24:C24"/>
    <mergeCell ref="A26:C26"/>
  </mergeCells>
  <hyperlinks>
    <hyperlink r:id="rId1" ref="C28"/>
    <hyperlink r:id="rId2" ref="C29"/>
    <hyperlink r:id="rId3" ref="C30"/>
    <hyperlink r:id="rId4" ref="C31"/>
    <hyperlink r:id="rId5" ref="C32"/>
    <hyperlink r:id="rId6" ref="C33"/>
    <hyperlink r:id="rId7" ref="C34"/>
    <hyperlink r:id="rId8" ref="C35"/>
    <hyperlink r:id="rId9" ref="C36"/>
    <hyperlink r:id="rId10" ref="C37"/>
    <hyperlink r:id="rId11" ref="C38"/>
    <hyperlink r:id="rId12" ref="C39"/>
  </hyperlinks>
  <printOptions/>
  <pageMargins bottom="1.0" footer="0.0" header="0.0" left="0.75" right="0.75" top="1.0"/>
  <pageSetup paperSize="9" orientation="portrait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3" width="65.0"/>
    <col customWidth="1" min="4" max="26" width="8.71"/>
  </cols>
  <sheetData>
    <row r="1" ht="27.75" customHeight="1">
      <c r="A1" s="1" t="s">
        <v>77</v>
      </c>
    </row>
    <row r="2" ht="15.0" customHeight="1">
      <c r="A2" s="19" t="s">
        <v>78</v>
      </c>
    </row>
    <row r="3">
      <c r="A3" s="3"/>
      <c r="B3" s="3"/>
      <c r="C3" s="3"/>
    </row>
    <row r="4">
      <c r="A4" s="16" t="s">
        <v>79</v>
      </c>
    </row>
    <row r="5">
      <c r="A5" s="7" t="s">
        <v>80</v>
      </c>
      <c r="B5" s="7" t="s">
        <v>4</v>
      </c>
      <c r="C5" s="7" t="s">
        <v>39</v>
      </c>
    </row>
    <row r="6">
      <c r="A6" s="8" t="s">
        <v>81</v>
      </c>
      <c r="B6" s="10">
        <v>0.0546</v>
      </c>
      <c r="C6" s="8" t="s">
        <v>82</v>
      </c>
    </row>
    <row r="7">
      <c r="A7" s="8" t="s">
        <v>83</v>
      </c>
      <c r="B7" s="20">
        <v>1.23</v>
      </c>
      <c r="C7" s="8" t="s">
        <v>84</v>
      </c>
    </row>
    <row r="8">
      <c r="A8" s="8" t="s">
        <v>85</v>
      </c>
      <c r="B8" s="10">
        <v>0.11</v>
      </c>
      <c r="C8" s="8" t="s">
        <v>86</v>
      </c>
    </row>
    <row r="9">
      <c r="A9" s="8"/>
      <c r="B9" s="21"/>
      <c r="C9" s="8"/>
    </row>
    <row r="10">
      <c r="A10" s="8" t="s">
        <v>87</v>
      </c>
      <c r="B10" s="10">
        <f>B8-B6</f>
        <v>0.0554</v>
      </c>
      <c r="C10" s="8" t="s">
        <v>88</v>
      </c>
    </row>
    <row r="11">
      <c r="A11" s="8" t="s">
        <v>89</v>
      </c>
      <c r="B11" s="10">
        <f>B7*B10</f>
        <v>0.068142</v>
      </c>
      <c r="C11" s="8" t="s">
        <v>90</v>
      </c>
    </row>
    <row r="12">
      <c r="A12" s="8"/>
      <c r="B12" s="21"/>
      <c r="C12" s="8"/>
    </row>
    <row r="13" ht="15.0" customHeight="1">
      <c r="A13" s="4" t="s">
        <v>91</v>
      </c>
      <c r="B13" s="5"/>
      <c r="C13" s="6"/>
    </row>
    <row r="14">
      <c r="A14" s="8" t="s">
        <v>92</v>
      </c>
      <c r="B14" s="22">
        <f>B6+B7*(B8-B6)</f>
        <v>0.122742</v>
      </c>
      <c r="C14" s="8" t="s">
        <v>93</v>
      </c>
    </row>
    <row r="15">
      <c r="A15" s="8" t="s">
        <v>94</v>
      </c>
      <c r="B15" s="23">
        <f>(1+B14)^(1/12)-1</f>
        <v>0.009694515935</v>
      </c>
      <c r="C15" s="8" t="s">
        <v>95</v>
      </c>
    </row>
    <row r="16">
      <c r="A16" s="3"/>
      <c r="B16" s="3"/>
      <c r="C16" s="3"/>
    </row>
    <row r="17">
      <c r="A17" s="16" t="s">
        <v>96</v>
      </c>
    </row>
    <row r="18">
      <c r="A18" s="7" t="s">
        <v>80</v>
      </c>
      <c r="B18" s="7" t="s">
        <v>4</v>
      </c>
      <c r="C18" s="7" t="s">
        <v>5</v>
      </c>
    </row>
    <row r="19">
      <c r="A19" s="8" t="s">
        <v>97</v>
      </c>
      <c r="B19" s="11">
        <v>920.0</v>
      </c>
      <c r="C19" s="8" t="s">
        <v>98</v>
      </c>
    </row>
    <row r="20">
      <c r="A20" s="8" t="s">
        <v>99</v>
      </c>
      <c r="B20" s="10">
        <v>0.3</v>
      </c>
      <c r="C20" s="8" t="s">
        <v>100</v>
      </c>
    </row>
    <row r="21" ht="15.75" customHeight="1">
      <c r="A21" s="8" t="s">
        <v>101</v>
      </c>
      <c r="B21" s="20">
        <v>1.25</v>
      </c>
      <c r="C21" s="8" t="s">
        <v>102</v>
      </c>
    </row>
    <row r="22" ht="15.75" customHeight="1">
      <c r="A22" s="8" t="s">
        <v>103</v>
      </c>
      <c r="B22" s="13">
        <v>4.0E7</v>
      </c>
      <c r="C22" s="8" t="s">
        <v>104</v>
      </c>
    </row>
    <row r="23" ht="15.75" customHeight="1">
      <c r="A23" s="8" t="s">
        <v>105</v>
      </c>
      <c r="B23" s="10">
        <v>0.04</v>
      </c>
      <c r="C23" s="8" t="s">
        <v>106</v>
      </c>
    </row>
    <row r="24" ht="15.75" customHeight="1">
      <c r="A24" s="3"/>
      <c r="B24" s="3"/>
      <c r="C24" s="3"/>
    </row>
    <row r="25" ht="15.75" customHeight="1">
      <c r="A25" s="16" t="s">
        <v>107</v>
      </c>
    </row>
    <row r="26" ht="149.25" customHeight="1">
      <c r="A26" s="17" t="s">
        <v>108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2:C2"/>
    <mergeCell ref="A4:C4"/>
    <mergeCell ref="A13:C13"/>
    <mergeCell ref="A17:C17"/>
    <mergeCell ref="A25:C25"/>
    <mergeCell ref="A26:C2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0.0"/>
    <col customWidth="1" min="3" max="4" width="18.0"/>
    <col customWidth="1" min="5" max="6" width="20.0"/>
    <col customWidth="1" min="7" max="7" width="60.0"/>
    <col customWidth="1" min="8" max="26" width="8.71"/>
  </cols>
  <sheetData>
    <row r="1" ht="27.75" customHeight="1">
      <c r="A1" s="1" t="s">
        <v>109</v>
      </c>
    </row>
    <row r="2" ht="15.0" customHeight="1">
      <c r="A2" s="19" t="s">
        <v>110</v>
      </c>
    </row>
    <row r="3">
      <c r="A3" s="3"/>
      <c r="B3" s="3"/>
      <c r="C3" s="3"/>
      <c r="D3" s="3"/>
      <c r="E3" s="3"/>
      <c r="F3" s="3"/>
      <c r="G3" s="3"/>
    </row>
    <row r="4" ht="33.75" customHeight="1">
      <c r="A4" s="7" t="s">
        <v>111</v>
      </c>
      <c r="B4" s="7" t="s">
        <v>112</v>
      </c>
      <c r="C4" s="7" t="s">
        <v>113</v>
      </c>
      <c r="D4" s="7" t="s">
        <v>114</v>
      </c>
      <c r="E4" s="7" t="s">
        <v>115</v>
      </c>
      <c r="F4" s="7" t="s">
        <v>116</v>
      </c>
      <c r="G4" s="7" t="s">
        <v>117</v>
      </c>
    </row>
    <row r="5" ht="24.0" customHeight="1">
      <c r="A5" s="8" t="s">
        <v>118</v>
      </c>
      <c r="B5" s="24">
        <v>1.0</v>
      </c>
      <c r="C5" s="25">
        <v>1120000.0</v>
      </c>
      <c r="D5" s="25">
        <v>1400000.0</v>
      </c>
      <c r="E5" s="25">
        <f>D5*(1+'Supuestos y CAPM'!$B$20)</f>
        <v>1820000</v>
      </c>
      <c r="F5" s="25">
        <f>B5*E5*'Resumen Ejecutivo'!$B$8</f>
        <v>7280000</v>
      </c>
      <c r="G5" s="8" t="s">
        <v>119</v>
      </c>
    </row>
    <row r="6" ht="24.0" customHeight="1">
      <c r="A6" s="8" t="s">
        <v>120</v>
      </c>
      <c r="B6" s="24">
        <v>1.0</v>
      </c>
      <c r="C6" s="25">
        <v>1120000.0</v>
      </c>
      <c r="D6" s="25">
        <v>1400000.0</v>
      </c>
      <c r="E6" s="25">
        <f>D6*(1+'Supuestos y CAPM'!$B$20)</f>
        <v>1820000</v>
      </c>
      <c r="F6" s="25">
        <f>B6*E6*'Resumen Ejecutivo'!$B$8</f>
        <v>7280000</v>
      </c>
      <c r="G6" s="8" t="s">
        <v>121</v>
      </c>
    </row>
    <row r="7" ht="24.0" customHeight="1">
      <c r="A7" s="8" t="s">
        <v>122</v>
      </c>
      <c r="B7" s="24">
        <v>1.0</v>
      </c>
      <c r="C7" s="25">
        <v>960000.0</v>
      </c>
      <c r="D7" s="25">
        <v>1200000.0</v>
      </c>
      <c r="E7" s="25">
        <f>D7*(1+'Supuestos y CAPM'!$B$20)</f>
        <v>1560000</v>
      </c>
      <c r="F7" s="25">
        <f>B7*E7*'Resumen Ejecutivo'!$B$8</f>
        <v>6240000</v>
      </c>
      <c r="G7" s="8" t="s">
        <v>123</v>
      </c>
    </row>
    <row r="8" ht="24.0" customHeight="1">
      <c r="A8" s="8" t="s">
        <v>124</v>
      </c>
      <c r="B8" s="24">
        <v>1.0</v>
      </c>
      <c r="C8" s="25">
        <v>960000.0</v>
      </c>
      <c r="D8" s="25">
        <v>1200000.0</v>
      </c>
      <c r="E8" s="25">
        <f>D8*(1+'Supuestos y CAPM'!$B$20)</f>
        <v>1560000</v>
      </c>
      <c r="F8" s="25">
        <f>B8*E8*'Resumen Ejecutivo'!$B$8</f>
        <v>6240000</v>
      </c>
      <c r="G8" s="8" t="s">
        <v>125</v>
      </c>
    </row>
    <row r="9" ht="24.0" customHeight="1">
      <c r="A9" s="8" t="s">
        <v>126</v>
      </c>
      <c r="B9" s="24">
        <v>1.0</v>
      </c>
      <c r="C9" s="25">
        <v>1040000.0</v>
      </c>
      <c r="D9" s="25">
        <v>1300000.0</v>
      </c>
      <c r="E9" s="25">
        <f>D9*(1+'Supuestos y CAPM'!$B$20)</f>
        <v>1690000</v>
      </c>
      <c r="F9" s="25">
        <f>B9*E9*'Resumen Ejecutivo'!$B$8</f>
        <v>6760000</v>
      </c>
      <c r="G9" s="8" t="s">
        <v>127</v>
      </c>
    </row>
    <row r="10" ht="24.0" customHeight="1">
      <c r="A10" s="8" t="s">
        <v>128</v>
      </c>
      <c r="B10" s="24">
        <v>1.0</v>
      </c>
      <c r="C10" s="25">
        <v>800000.0</v>
      </c>
      <c r="D10" s="25">
        <v>1000000.0</v>
      </c>
      <c r="E10" s="25">
        <f>D10*(1+'Supuestos y CAPM'!$B$20)</f>
        <v>1300000</v>
      </c>
      <c r="F10" s="25">
        <f>B10*E10*'Resumen Ejecutivo'!$B$8</f>
        <v>5200000</v>
      </c>
      <c r="G10" s="8" t="s">
        <v>129</v>
      </c>
    </row>
    <row r="11" ht="24.0" customHeight="1">
      <c r="A11" s="8" t="s">
        <v>130</v>
      </c>
      <c r="B11" s="24">
        <v>1.0</v>
      </c>
      <c r="C11" s="25">
        <v>880000.0</v>
      </c>
      <c r="D11" s="25">
        <v>1100000.0</v>
      </c>
      <c r="E11" s="25">
        <f>D11*(1+'Supuestos y CAPM'!$B$20)</f>
        <v>1430000</v>
      </c>
      <c r="F11" s="25">
        <f>B11*E11*'Resumen Ejecutivo'!$B$8</f>
        <v>5720000</v>
      </c>
      <c r="G11" s="8" t="s">
        <v>131</v>
      </c>
    </row>
    <row r="12">
      <c r="A12" s="26" t="s">
        <v>132</v>
      </c>
      <c r="B12" s="27">
        <f>SUM(B5:B11)</f>
        <v>7</v>
      </c>
      <c r="C12" s="28" t="s">
        <v>133</v>
      </c>
      <c r="D12" s="28" t="s">
        <v>133</v>
      </c>
      <c r="E12" s="29">
        <f>SUMPRODUCT(B5:B11,E5:E11)</f>
        <v>11180000</v>
      </c>
      <c r="F12" s="29">
        <f>SUM(F5:F11)</f>
        <v>44720000</v>
      </c>
      <c r="G12" s="21" t="s">
        <v>134</v>
      </c>
    </row>
    <row r="13">
      <c r="A13" s="3"/>
      <c r="B13" s="3"/>
      <c r="C13" s="3"/>
      <c r="D13" s="3"/>
      <c r="E13" s="3"/>
      <c r="F13" s="3"/>
      <c r="G13" s="3"/>
    </row>
    <row r="14" ht="41.25" customHeight="1">
      <c r="A14" s="17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14:G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3" width="14.0"/>
    <col customWidth="1" min="4" max="4" width="16.0"/>
    <col customWidth="1" min="5" max="5" width="20.0"/>
    <col customWidth="1" min="6" max="6" width="22.0"/>
    <col customWidth="1" min="7" max="7" width="58.14"/>
    <col customWidth="1" min="8" max="12" width="8.71"/>
    <col customWidth="1" min="13" max="13" width="43.57"/>
    <col customWidth="1" min="14" max="26" width="8.71"/>
  </cols>
  <sheetData>
    <row r="1" ht="27.75" customHeight="1">
      <c r="A1" s="1" t="s">
        <v>136</v>
      </c>
    </row>
    <row r="2" ht="15.0" customHeight="1">
      <c r="A2" s="19" t="s">
        <v>137</v>
      </c>
    </row>
    <row r="3">
      <c r="A3" s="3"/>
      <c r="B3" s="3"/>
      <c r="C3" s="3"/>
      <c r="D3" s="3"/>
      <c r="E3" s="3"/>
      <c r="F3" s="3"/>
      <c r="G3" s="3"/>
      <c r="M3" s="19"/>
    </row>
    <row r="4" ht="33.75" customHeight="1">
      <c r="A4" s="7" t="s">
        <v>138</v>
      </c>
      <c r="B4" s="7" t="s">
        <v>139</v>
      </c>
      <c r="C4" s="7" t="s">
        <v>140</v>
      </c>
      <c r="D4" s="7" t="s">
        <v>141</v>
      </c>
      <c r="E4" s="7" t="s">
        <v>142</v>
      </c>
      <c r="F4" s="7" t="s">
        <v>143</v>
      </c>
      <c r="G4" s="7" t="s">
        <v>144</v>
      </c>
      <c r="M4" s="17"/>
    </row>
    <row r="5" ht="21.75" customHeight="1">
      <c r="A5" s="8" t="s">
        <v>145</v>
      </c>
      <c r="B5" s="8" t="s">
        <v>146</v>
      </c>
      <c r="C5" s="8" t="s">
        <v>147</v>
      </c>
      <c r="D5" s="8" t="s">
        <v>148</v>
      </c>
      <c r="E5" s="25">
        <v>0.0</v>
      </c>
      <c r="F5" s="25">
        <v>0.0</v>
      </c>
      <c r="G5" s="8" t="s">
        <v>149</v>
      </c>
      <c r="M5" s="17"/>
    </row>
    <row r="6">
      <c r="A6" s="8" t="s">
        <v>150</v>
      </c>
      <c r="B6" s="8" t="s">
        <v>146</v>
      </c>
      <c r="C6" s="8" t="s">
        <v>151</v>
      </c>
      <c r="D6" s="8" t="s">
        <v>152</v>
      </c>
      <c r="E6" s="25">
        <v>0.0</v>
      </c>
      <c r="F6" s="25">
        <v>0.0</v>
      </c>
      <c r="G6" s="8" t="s">
        <v>153</v>
      </c>
      <c r="M6" s="17"/>
    </row>
    <row r="7">
      <c r="A7" s="8" t="s">
        <v>154</v>
      </c>
      <c r="B7" s="8" t="s">
        <v>155</v>
      </c>
      <c r="C7" s="8" t="s">
        <v>156</v>
      </c>
      <c r="D7" s="8" t="s">
        <v>148</v>
      </c>
      <c r="E7" s="25">
        <v>0.0</v>
      </c>
      <c r="F7" s="25">
        <v>0.0</v>
      </c>
      <c r="G7" s="8" t="s">
        <v>157</v>
      </c>
      <c r="M7" s="17"/>
    </row>
    <row r="8">
      <c r="A8" s="8" t="s">
        <v>158</v>
      </c>
      <c r="B8" s="8" t="s">
        <v>159</v>
      </c>
      <c r="C8" s="30" t="s">
        <v>160</v>
      </c>
      <c r="D8" s="8" t="s">
        <v>148</v>
      </c>
      <c r="E8" s="25">
        <v>0.0</v>
      </c>
      <c r="F8" s="25">
        <v>0.0</v>
      </c>
      <c r="G8" s="8" t="s">
        <v>161</v>
      </c>
      <c r="M8" s="17"/>
    </row>
    <row r="9" ht="21.75" customHeight="1">
      <c r="A9" s="8" t="s">
        <v>162</v>
      </c>
      <c r="B9" s="8" t="s">
        <v>163</v>
      </c>
      <c r="C9" s="31" t="s">
        <v>164</v>
      </c>
      <c r="D9" s="8" t="s">
        <v>148</v>
      </c>
      <c r="E9" s="25">
        <v>0.0</v>
      </c>
      <c r="F9" s="25">
        <v>0.0</v>
      </c>
      <c r="G9" s="8" t="s">
        <v>165</v>
      </c>
      <c r="M9" s="17"/>
    </row>
    <row r="10" ht="21.75" customHeight="1">
      <c r="A10" s="8" t="s">
        <v>166</v>
      </c>
      <c r="B10" s="8" t="s">
        <v>167</v>
      </c>
      <c r="C10" s="8" t="s">
        <v>168</v>
      </c>
      <c r="D10" s="8" t="s">
        <v>148</v>
      </c>
      <c r="E10" s="25">
        <v>0.0</v>
      </c>
      <c r="F10" s="25">
        <v>0.0</v>
      </c>
      <c r="G10" s="8" t="s">
        <v>169</v>
      </c>
      <c r="M10" s="17"/>
    </row>
    <row r="11" ht="21.75" customHeight="1">
      <c r="A11" s="8" t="s">
        <v>170</v>
      </c>
      <c r="B11" s="8" t="s">
        <v>171</v>
      </c>
      <c r="C11" s="8" t="s">
        <v>172</v>
      </c>
      <c r="D11" s="8" t="s">
        <v>148</v>
      </c>
      <c r="E11" s="25">
        <v>0.0</v>
      </c>
      <c r="F11" s="25">
        <v>0.0</v>
      </c>
      <c r="G11" s="8" t="s">
        <v>173</v>
      </c>
      <c r="M11" s="17"/>
    </row>
    <row r="12" ht="21.75" customHeight="1">
      <c r="A12" s="8" t="s">
        <v>174</v>
      </c>
      <c r="B12" s="8" t="s">
        <v>175</v>
      </c>
      <c r="C12" s="8" t="s">
        <v>176</v>
      </c>
      <c r="D12" s="8" t="s">
        <v>148</v>
      </c>
      <c r="E12" s="25">
        <v>0.0</v>
      </c>
      <c r="F12" s="25">
        <v>0.0</v>
      </c>
      <c r="G12" s="8" t="s">
        <v>177</v>
      </c>
      <c r="M12" s="17"/>
    </row>
    <row r="13" ht="21.75" customHeight="1">
      <c r="A13" s="8" t="s">
        <v>178</v>
      </c>
      <c r="B13" s="8" t="s">
        <v>179</v>
      </c>
      <c r="C13" s="8" t="s">
        <v>180</v>
      </c>
      <c r="D13" s="8" t="s">
        <v>148</v>
      </c>
      <c r="E13" s="25">
        <v>0.0</v>
      </c>
      <c r="F13" s="25">
        <v>0.0</v>
      </c>
      <c r="G13" s="8" t="s">
        <v>181</v>
      </c>
      <c r="M13" s="17"/>
    </row>
    <row r="14" ht="21.75" customHeight="1">
      <c r="A14" s="8" t="s">
        <v>182</v>
      </c>
      <c r="B14" s="8" t="s">
        <v>183</v>
      </c>
      <c r="C14" s="8" t="s">
        <v>184</v>
      </c>
      <c r="D14" s="8" t="s">
        <v>148</v>
      </c>
      <c r="E14" s="25">
        <v>0.0</v>
      </c>
      <c r="F14" s="25">
        <v>0.0</v>
      </c>
      <c r="G14" s="8" t="s">
        <v>185</v>
      </c>
      <c r="M14" s="17"/>
    </row>
    <row r="15" ht="21.75" customHeight="1">
      <c r="A15" s="15" t="s">
        <v>186</v>
      </c>
      <c r="B15" s="15" t="s">
        <v>187</v>
      </c>
      <c r="C15" s="15" t="s">
        <v>188</v>
      </c>
      <c r="D15" s="15" t="s">
        <v>148</v>
      </c>
      <c r="E15" s="25">
        <v>0.0</v>
      </c>
      <c r="F15" s="25">
        <v>0.0</v>
      </c>
      <c r="G15" s="15" t="s">
        <v>189</v>
      </c>
      <c r="M15" s="17"/>
    </row>
    <row r="16" ht="21.75" customHeight="1">
      <c r="A16" s="15" t="s">
        <v>190</v>
      </c>
      <c r="B16" s="15" t="s">
        <v>191</v>
      </c>
      <c r="C16" s="15" t="s">
        <v>188</v>
      </c>
      <c r="D16" s="15" t="s">
        <v>148</v>
      </c>
      <c r="E16" s="25">
        <v>0.0</v>
      </c>
      <c r="F16" s="25">
        <v>0.0</v>
      </c>
      <c r="G16" s="15" t="s">
        <v>192</v>
      </c>
      <c r="M16" s="17"/>
    </row>
    <row r="17">
      <c r="A17" s="15" t="s">
        <v>193</v>
      </c>
      <c r="B17" s="15" t="s">
        <v>194</v>
      </c>
      <c r="C17" s="15" t="s">
        <v>195</v>
      </c>
      <c r="D17" s="15" t="s">
        <v>196</v>
      </c>
      <c r="E17" s="25">
        <v>0.0</v>
      </c>
      <c r="F17" s="25">
        <v>0.0</v>
      </c>
      <c r="G17" s="15" t="s">
        <v>197</v>
      </c>
      <c r="M17" s="17"/>
    </row>
    <row r="18">
      <c r="A18" s="8" t="s">
        <v>198</v>
      </c>
      <c r="B18" s="8" t="s">
        <v>199</v>
      </c>
      <c r="C18" s="8" t="s">
        <v>200</v>
      </c>
      <c r="D18" s="8" t="s">
        <v>152</v>
      </c>
      <c r="E18" s="25">
        <v>0.0</v>
      </c>
      <c r="F18" s="25">
        <v>0.0</v>
      </c>
      <c r="G18" s="8" t="s">
        <v>201</v>
      </c>
      <c r="M18" s="17"/>
    </row>
    <row r="19" ht="21.75" customHeight="1">
      <c r="A19" s="8" t="s">
        <v>202</v>
      </c>
      <c r="B19" s="8" t="s">
        <v>203</v>
      </c>
      <c r="C19" s="31" t="s">
        <v>204</v>
      </c>
      <c r="D19" s="8" t="s">
        <v>148</v>
      </c>
      <c r="E19" s="25">
        <v>0.0</v>
      </c>
      <c r="F19" s="25">
        <v>0.0</v>
      </c>
      <c r="G19" s="8" t="s">
        <v>205</v>
      </c>
      <c r="M19" s="17"/>
    </row>
    <row r="20" ht="21.75" customHeight="1">
      <c r="A20" s="8" t="s">
        <v>206</v>
      </c>
      <c r="B20" s="8" t="s">
        <v>207</v>
      </c>
      <c r="C20" s="31" t="s">
        <v>208</v>
      </c>
      <c r="D20" s="8" t="s">
        <v>148</v>
      </c>
      <c r="E20" s="25">
        <v>0.0</v>
      </c>
      <c r="F20" s="25">
        <v>0.0</v>
      </c>
      <c r="G20" s="8" t="s">
        <v>209</v>
      </c>
      <c r="M20" s="17"/>
    </row>
    <row r="21" ht="21.75" customHeight="1">
      <c r="A21" s="8" t="s">
        <v>210</v>
      </c>
      <c r="B21" s="8" t="s">
        <v>211</v>
      </c>
      <c r="C21" s="31" t="s">
        <v>212</v>
      </c>
      <c r="D21" s="8" t="s">
        <v>148</v>
      </c>
      <c r="E21" s="25">
        <v>0.0</v>
      </c>
      <c r="F21" s="25">
        <v>0.0</v>
      </c>
      <c r="G21" s="8" t="s">
        <v>213</v>
      </c>
      <c r="M21" s="17"/>
    </row>
    <row r="22" ht="21.75" customHeight="1">
      <c r="A22" s="8" t="s">
        <v>214</v>
      </c>
      <c r="B22" s="8" t="s">
        <v>215</v>
      </c>
      <c r="C22" s="8" t="s">
        <v>216</v>
      </c>
      <c r="D22" s="8" t="s">
        <v>148</v>
      </c>
      <c r="E22" s="25">
        <v>0.0</v>
      </c>
      <c r="F22" s="25">
        <v>0.0</v>
      </c>
      <c r="G22" s="8" t="s">
        <v>217</v>
      </c>
      <c r="M22" s="17"/>
    </row>
    <row r="23">
      <c r="A23" s="8" t="s">
        <v>218</v>
      </c>
      <c r="B23" s="8" t="s">
        <v>219</v>
      </c>
      <c r="C23" s="8" t="s">
        <v>220</v>
      </c>
      <c r="D23" s="8" t="s">
        <v>221</v>
      </c>
      <c r="E23" s="25">
        <v>0.0</v>
      </c>
      <c r="F23" s="25">
        <v>0.0</v>
      </c>
      <c r="G23" s="8" t="s">
        <v>222</v>
      </c>
      <c r="M23" s="17"/>
    </row>
    <row r="24" ht="34.5" customHeight="1">
      <c r="A24" s="8" t="s">
        <v>223</v>
      </c>
      <c r="B24" s="8" t="s">
        <v>224</v>
      </c>
      <c r="C24" s="8" t="s">
        <v>220</v>
      </c>
      <c r="D24" s="8" t="s">
        <v>225</v>
      </c>
      <c r="E24" s="25">
        <v>0.0</v>
      </c>
      <c r="F24" s="25">
        <v>0.0</v>
      </c>
      <c r="G24" s="8" t="s">
        <v>226</v>
      </c>
      <c r="M24" s="32"/>
    </row>
    <row r="25" ht="30.0" customHeight="1">
      <c r="A25" s="15" t="s">
        <v>227</v>
      </c>
      <c r="B25" s="8" t="s">
        <v>228</v>
      </c>
      <c r="C25" s="8" t="s">
        <v>220</v>
      </c>
      <c r="D25" s="8" t="s">
        <v>229</v>
      </c>
      <c r="E25" s="25">
        <v>0.0</v>
      </c>
      <c r="F25" s="25">
        <v>0.0</v>
      </c>
      <c r="G25" s="15" t="s">
        <v>230</v>
      </c>
      <c r="M25" s="17"/>
    </row>
    <row r="26" ht="21.75" customHeight="1">
      <c r="A26" s="8" t="s">
        <v>231</v>
      </c>
      <c r="B26" s="8" t="s">
        <v>232</v>
      </c>
      <c r="C26" s="8" t="s">
        <v>233</v>
      </c>
      <c r="D26" s="8" t="s">
        <v>148</v>
      </c>
      <c r="E26" s="25">
        <v>0.0</v>
      </c>
      <c r="F26" s="25">
        <v>0.0</v>
      </c>
      <c r="G26" s="8" t="s">
        <v>234</v>
      </c>
      <c r="M26" s="17"/>
    </row>
    <row r="27">
      <c r="A27" s="8" t="s">
        <v>235</v>
      </c>
      <c r="B27" s="8" t="s">
        <v>236</v>
      </c>
      <c r="C27" s="8" t="s">
        <v>237</v>
      </c>
      <c r="D27" s="8" t="s">
        <v>152</v>
      </c>
      <c r="E27" s="25">
        <v>0.0</v>
      </c>
      <c r="F27" s="25">
        <v>0.0</v>
      </c>
      <c r="G27" s="8" t="s">
        <v>238</v>
      </c>
      <c r="M27" s="17"/>
    </row>
    <row r="28" ht="21.75" customHeight="1">
      <c r="A28" s="8" t="s">
        <v>239</v>
      </c>
      <c r="B28" s="8" t="s">
        <v>240</v>
      </c>
      <c r="C28" s="8" t="s">
        <v>241</v>
      </c>
      <c r="D28" s="8" t="s">
        <v>148</v>
      </c>
      <c r="E28" s="25">
        <v>0.0</v>
      </c>
      <c r="F28" s="25">
        <v>0.0</v>
      </c>
      <c r="G28" s="8" t="s">
        <v>242</v>
      </c>
      <c r="M28" s="17"/>
    </row>
    <row r="29" ht="21.75" customHeight="1">
      <c r="A29" s="8" t="s">
        <v>243</v>
      </c>
      <c r="B29" s="8" t="s">
        <v>244</v>
      </c>
      <c r="C29" s="8" t="s">
        <v>245</v>
      </c>
      <c r="D29" s="8" t="s">
        <v>148</v>
      </c>
      <c r="E29" s="25">
        <v>0.0</v>
      </c>
      <c r="F29" s="25">
        <v>0.0</v>
      </c>
      <c r="G29" s="8" t="s">
        <v>246</v>
      </c>
      <c r="M29" s="17"/>
    </row>
    <row r="30">
      <c r="A30" s="8" t="s">
        <v>247</v>
      </c>
      <c r="B30" s="8" t="s">
        <v>248</v>
      </c>
      <c r="C30" s="8" t="s">
        <v>249</v>
      </c>
      <c r="D30" s="8" t="s">
        <v>250</v>
      </c>
      <c r="E30" s="25">
        <v>50000.0</v>
      </c>
      <c r="F30" s="25">
        <v>0.0</v>
      </c>
      <c r="G30" s="8" t="s">
        <v>251</v>
      </c>
      <c r="M30" s="17"/>
    </row>
    <row r="31" ht="30.0" customHeight="1">
      <c r="A31" s="8" t="s">
        <v>252</v>
      </c>
      <c r="B31" s="8" t="s">
        <v>253</v>
      </c>
      <c r="C31" s="8" t="s">
        <v>133</v>
      </c>
      <c r="D31" s="8" t="s">
        <v>254</v>
      </c>
      <c r="E31" s="25">
        <v>0.0</v>
      </c>
      <c r="F31" s="25">
        <v>780000.0</v>
      </c>
      <c r="G31" s="8" t="s">
        <v>255</v>
      </c>
      <c r="M31" s="16"/>
    </row>
    <row r="32" ht="15.75" customHeight="1">
      <c r="A32" s="26" t="s">
        <v>256</v>
      </c>
      <c r="B32" s="28" t="s">
        <v>133</v>
      </c>
      <c r="C32" s="28" t="s">
        <v>133</v>
      </c>
      <c r="D32" s="28" t="s">
        <v>133</v>
      </c>
      <c r="E32" s="29">
        <f t="shared" ref="E32:F32" si="1">SUM(E5:E31)</f>
        <v>50000</v>
      </c>
      <c r="F32" s="29">
        <f t="shared" si="1"/>
        <v>780000</v>
      </c>
      <c r="G32" s="21"/>
    </row>
    <row r="33" ht="15.75" customHeight="1">
      <c r="A33" s="3"/>
      <c r="B33" s="3"/>
      <c r="C33" s="3"/>
      <c r="D33" s="3"/>
      <c r="E33" s="3"/>
      <c r="F33" s="3"/>
      <c r="G33" s="3"/>
    </row>
    <row r="34" ht="27.75" customHeight="1">
      <c r="A34" s="1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G1"/>
    <mergeCell ref="A2:G2"/>
    <mergeCell ref="A34:G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2.0"/>
    <col customWidth="1" min="3" max="3" width="55.0"/>
    <col customWidth="1" min="4" max="26" width="8.71"/>
  </cols>
  <sheetData>
    <row r="1" ht="27.75" customHeight="1">
      <c r="A1" s="1" t="s">
        <v>257</v>
      </c>
    </row>
    <row r="2">
      <c r="A2" s="3"/>
      <c r="B2" s="3"/>
      <c r="C2" s="3"/>
    </row>
    <row r="3">
      <c r="A3" s="16" t="s">
        <v>258</v>
      </c>
    </row>
    <row r="4">
      <c r="A4" s="7" t="s">
        <v>3</v>
      </c>
      <c r="B4" s="7" t="s">
        <v>259</v>
      </c>
      <c r="C4" s="7" t="s">
        <v>260</v>
      </c>
    </row>
    <row r="5">
      <c r="A5" s="8" t="s">
        <v>261</v>
      </c>
      <c r="B5" s="13">
        <f>'Costos RRHH'!F12</f>
        <v>44720000</v>
      </c>
      <c r="C5" s="8" t="s">
        <v>262</v>
      </c>
    </row>
    <row r="6">
      <c r="A6" s="8" t="s">
        <v>247</v>
      </c>
      <c r="B6" s="13">
        <f>'Licencias y Herramientas'!E30</f>
        <v>50000</v>
      </c>
      <c r="C6" s="8" t="s">
        <v>263</v>
      </c>
    </row>
    <row r="7">
      <c r="A7" s="8" t="s">
        <v>264</v>
      </c>
      <c r="B7" s="13">
        <v>0.0</v>
      </c>
      <c r="C7" s="8" t="s">
        <v>265</v>
      </c>
    </row>
    <row r="8">
      <c r="A8" s="8" t="s">
        <v>266</v>
      </c>
      <c r="B8" s="13">
        <v>0.0</v>
      </c>
      <c r="C8" s="8" t="s">
        <v>267</v>
      </c>
    </row>
    <row r="9">
      <c r="A9" s="8"/>
      <c r="B9" s="21"/>
      <c r="C9" s="8"/>
    </row>
    <row r="10">
      <c r="A10" s="8" t="s">
        <v>268</v>
      </c>
      <c r="B10" s="29">
        <f>SUM(B6:B8)</f>
        <v>50000</v>
      </c>
      <c r="C10" s="8"/>
    </row>
    <row r="11">
      <c r="A11" s="8" t="s">
        <v>269</v>
      </c>
      <c r="B11" s="29">
        <f>B5+B10</f>
        <v>44770000</v>
      </c>
      <c r="C11" s="8"/>
    </row>
    <row r="12">
      <c r="A12" s="3"/>
      <c r="B12" s="3"/>
      <c r="C12" s="3"/>
    </row>
    <row r="13">
      <c r="A13" s="3"/>
      <c r="B13" s="3"/>
      <c r="C13" s="3"/>
    </row>
    <row r="14">
      <c r="A14" s="16" t="s">
        <v>270</v>
      </c>
    </row>
    <row r="15">
      <c r="A15" s="7" t="s">
        <v>3</v>
      </c>
      <c r="B15" s="7" t="s">
        <v>271</v>
      </c>
      <c r="C15" s="7" t="s">
        <v>260</v>
      </c>
    </row>
    <row r="16">
      <c r="A16" s="8" t="s">
        <v>272</v>
      </c>
      <c r="B16" s="13">
        <f>'Licencias y Herramientas'!F31</f>
        <v>780000</v>
      </c>
      <c r="C16" s="8" t="s">
        <v>273</v>
      </c>
    </row>
    <row r="17">
      <c r="A17" s="8" t="s">
        <v>274</v>
      </c>
      <c r="B17" s="13">
        <v>0.0</v>
      </c>
      <c r="C17" s="8" t="s">
        <v>275</v>
      </c>
    </row>
    <row r="18">
      <c r="A18" s="8" t="s">
        <v>276</v>
      </c>
      <c r="B18" s="29">
        <f>SUM(B16:B17)</f>
        <v>780000</v>
      </c>
      <c r="C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C1"/>
    <mergeCell ref="A3:C3"/>
    <mergeCell ref="A14:C1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22.0"/>
    <col customWidth="1" min="4" max="5" width="20.0"/>
    <col customWidth="1" min="6" max="7" width="24.0"/>
    <col customWidth="1" min="8" max="26" width="8.71"/>
  </cols>
  <sheetData>
    <row r="1" ht="27.75" customHeight="1">
      <c r="A1" s="33" t="s">
        <v>277</v>
      </c>
    </row>
    <row r="2" ht="15.0" customHeight="1">
      <c r="A2" s="19" t="s">
        <v>278</v>
      </c>
    </row>
    <row r="3">
      <c r="A3" s="3"/>
      <c r="B3" s="3"/>
      <c r="C3" s="3"/>
      <c r="D3" s="3"/>
      <c r="E3" s="3"/>
      <c r="F3" s="3"/>
      <c r="G3" s="3"/>
    </row>
    <row r="4" ht="33.75" customHeight="1">
      <c r="A4" s="7" t="s">
        <v>279</v>
      </c>
      <c r="B4" s="7" t="s">
        <v>280</v>
      </c>
      <c r="C4" s="7" t="s">
        <v>281</v>
      </c>
      <c r="D4" s="7" t="s">
        <v>282</v>
      </c>
      <c r="E4" s="7" t="s">
        <v>283</v>
      </c>
      <c r="F4" s="7" t="s">
        <v>284</v>
      </c>
      <c r="G4" s="7" t="s">
        <v>285</v>
      </c>
    </row>
    <row r="5">
      <c r="A5" s="7" t="s">
        <v>286</v>
      </c>
      <c r="B5" s="25">
        <v>0.0</v>
      </c>
      <c r="C5" s="25">
        <v>0.0</v>
      </c>
      <c r="D5" s="25">
        <f>-'Inversión Inicial'!B11</f>
        <v>-44770000</v>
      </c>
      <c r="E5" s="25">
        <f t="shared" ref="E5:E23" si="2">B5+C5+D5</f>
        <v>-44770000</v>
      </c>
      <c r="F5" s="25">
        <f t="shared" ref="F5:G5" si="1">E5</f>
        <v>-44770000</v>
      </c>
      <c r="G5" s="25">
        <f t="shared" si="1"/>
        <v>-44770000</v>
      </c>
    </row>
    <row r="6">
      <c r="A6" s="28" t="s">
        <v>287</v>
      </c>
      <c r="B6" s="25">
        <f>'Resumen Ejecutivo'!$B$10</f>
        <v>4000000</v>
      </c>
      <c r="C6" s="25">
        <f>-'Inversión Inicial'!$B$18</f>
        <v>-780000</v>
      </c>
      <c r="D6" s="25">
        <v>0.0</v>
      </c>
      <c r="E6" s="25">
        <f t="shared" si="2"/>
        <v>3220000</v>
      </c>
      <c r="F6" s="25">
        <f>E6/(1+'Supuestos y CAPM'!$B$15)^1</f>
        <v>3189083.38</v>
      </c>
      <c r="G6" s="25">
        <f t="shared" ref="G6:G23" si="3">G5+F6</f>
        <v>-41580916.62</v>
      </c>
    </row>
    <row r="7">
      <c r="A7" s="28" t="s">
        <v>288</v>
      </c>
      <c r="B7" s="25">
        <f>'Resumen Ejecutivo'!$B$10</f>
        <v>4000000</v>
      </c>
      <c r="C7" s="25">
        <f>-'Inversión Inicial'!$B$18</f>
        <v>-780000</v>
      </c>
      <c r="D7" s="25">
        <v>0.0</v>
      </c>
      <c r="E7" s="25">
        <f t="shared" si="2"/>
        <v>3220000</v>
      </c>
      <c r="F7" s="25">
        <f>E7/(1+'Supuestos y CAPM'!$B$15)^2</f>
        <v>3158463.605</v>
      </c>
      <c r="G7" s="25">
        <f t="shared" si="3"/>
        <v>-38422453.02</v>
      </c>
    </row>
    <row r="8">
      <c r="A8" s="28" t="s">
        <v>289</v>
      </c>
      <c r="B8" s="25">
        <f>'Resumen Ejecutivo'!$B$10</f>
        <v>4000000</v>
      </c>
      <c r="C8" s="25">
        <f>-'Inversión Inicial'!$B$18</f>
        <v>-780000</v>
      </c>
      <c r="D8" s="25">
        <v>0.0</v>
      </c>
      <c r="E8" s="25">
        <f t="shared" si="2"/>
        <v>3220000</v>
      </c>
      <c r="F8" s="25">
        <f>E8/(1+'Supuestos y CAPM'!$B$15)^3</f>
        <v>3128137.823</v>
      </c>
      <c r="G8" s="25">
        <f t="shared" si="3"/>
        <v>-35294315.19</v>
      </c>
    </row>
    <row r="9">
      <c r="A9" s="28" t="s">
        <v>290</v>
      </c>
      <c r="B9" s="25">
        <f>'Resumen Ejecutivo'!$B$10</f>
        <v>4000000</v>
      </c>
      <c r="C9" s="25">
        <f>-'Inversión Inicial'!$B$18</f>
        <v>-780000</v>
      </c>
      <c r="D9" s="25">
        <v>0.0</v>
      </c>
      <c r="E9" s="25">
        <f t="shared" si="2"/>
        <v>3220000</v>
      </c>
      <c r="F9" s="25">
        <f>E9/(1+'Supuestos y CAPM'!$B$15)^4</f>
        <v>3098103.212</v>
      </c>
      <c r="G9" s="25">
        <f t="shared" si="3"/>
        <v>-32196211.98</v>
      </c>
    </row>
    <row r="10">
      <c r="A10" s="28" t="s">
        <v>291</v>
      </c>
      <c r="B10" s="25">
        <f>'Resumen Ejecutivo'!$B$10</f>
        <v>4000000</v>
      </c>
      <c r="C10" s="25">
        <f>-'Inversión Inicial'!$B$18</f>
        <v>-780000</v>
      </c>
      <c r="D10" s="25">
        <v>0.0</v>
      </c>
      <c r="E10" s="25">
        <f t="shared" si="2"/>
        <v>3220000</v>
      </c>
      <c r="F10" s="25">
        <f>E10/(1+'Supuestos y CAPM'!$B$15)^5</f>
        <v>3068356.976</v>
      </c>
      <c r="G10" s="25">
        <f t="shared" si="3"/>
        <v>-29127855</v>
      </c>
    </row>
    <row r="11">
      <c r="A11" s="28" t="s">
        <v>292</v>
      </c>
      <c r="B11" s="25">
        <f>'Resumen Ejecutivo'!$B$10</f>
        <v>4000000</v>
      </c>
      <c r="C11" s="25">
        <f>-'Inversión Inicial'!$B$18</f>
        <v>-780000</v>
      </c>
      <c r="D11" s="25">
        <v>0.0</v>
      </c>
      <c r="E11" s="25">
        <f t="shared" si="2"/>
        <v>3220000</v>
      </c>
      <c r="F11" s="25">
        <f>E11/(1+'Supuestos y CAPM'!$B$15)^6</f>
        <v>3038896.347</v>
      </c>
      <c r="G11" s="25">
        <f t="shared" si="3"/>
        <v>-26088958.66</v>
      </c>
    </row>
    <row r="12">
      <c r="A12" s="28" t="s">
        <v>293</v>
      </c>
      <c r="B12" s="25">
        <f>'Resumen Ejecutivo'!$B$10</f>
        <v>4000000</v>
      </c>
      <c r="C12" s="25">
        <f>-'Inversión Inicial'!$B$18</f>
        <v>-780000</v>
      </c>
      <c r="D12" s="25">
        <v>0.0</v>
      </c>
      <c r="E12" s="25">
        <f t="shared" si="2"/>
        <v>3220000</v>
      </c>
      <c r="F12" s="25">
        <f>E12/(1+'Supuestos y CAPM'!$B$15)^7</f>
        <v>3009718.582</v>
      </c>
      <c r="G12" s="25">
        <f t="shared" si="3"/>
        <v>-23079240.08</v>
      </c>
    </row>
    <row r="13">
      <c r="A13" s="28" t="s">
        <v>294</v>
      </c>
      <c r="B13" s="25">
        <f>'Resumen Ejecutivo'!$B$10</f>
        <v>4000000</v>
      </c>
      <c r="C13" s="25">
        <f>-'Inversión Inicial'!$B$18</f>
        <v>-780000</v>
      </c>
      <c r="D13" s="25">
        <v>0.0</v>
      </c>
      <c r="E13" s="25">
        <f t="shared" si="2"/>
        <v>3220000</v>
      </c>
      <c r="F13" s="25">
        <f>E13/(1+'Supuestos y CAPM'!$B$15)^8</f>
        <v>2980820.966</v>
      </c>
      <c r="G13" s="25">
        <f t="shared" si="3"/>
        <v>-20098419.11</v>
      </c>
    </row>
    <row r="14">
      <c r="A14" s="28" t="s">
        <v>295</v>
      </c>
      <c r="B14" s="25">
        <f>'Resumen Ejecutivo'!$B$10</f>
        <v>4000000</v>
      </c>
      <c r="C14" s="25">
        <f>-'Inversión Inicial'!$B$18</f>
        <v>-780000</v>
      </c>
      <c r="D14" s="25">
        <v>0.0</v>
      </c>
      <c r="E14" s="25">
        <f t="shared" si="2"/>
        <v>3220000</v>
      </c>
      <c r="F14" s="25">
        <f>E14/(1+'Supuestos y CAPM'!$B$15)^9</f>
        <v>2952200.808</v>
      </c>
      <c r="G14" s="25">
        <f t="shared" si="3"/>
        <v>-17146218.3</v>
      </c>
    </row>
    <row r="15">
      <c r="A15" s="28" t="s">
        <v>296</v>
      </c>
      <c r="B15" s="25">
        <f>'Resumen Ejecutivo'!$B$10</f>
        <v>4000000</v>
      </c>
      <c r="C15" s="25">
        <f>-'Inversión Inicial'!$B$18</f>
        <v>-780000</v>
      </c>
      <c r="D15" s="25">
        <v>0.0</v>
      </c>
      <c r="E15" s="25">
        <f t="shared" si="2"/>
        <v>3220000</v>
      </c>
      <c r="F15" s="25">
        <f>E15/(1+'Supuestos y CAPM'!$B$15)^10</f>
        <v>2923855.445</v>
      </c>
      <c r="G15" s="25">
        <f t="shared" si="3"/>
        <v>-14222362.86</v>
      </c>
    </row>
    <row r="16">
      <c r="A16" s="28" t="s">
        <v>297</v>
      </c>
      <c r="B16" s="25">
        <f>'Resumen Ejecutivo'!$B$10</f>
        <v>4000000</v>
      </c>
      <c r="C16" s="25">
        <f>-'Inversión Inicial'!$B$18</f>
        <v>-780000</v>
      </c>
      <c r="D16" s="25">
        <v>0.0</v>
      </c>
      <c r="E16" s="25">
        <f t="shared" si="2"/>
        <v>3220000</v>
      </c>
      <c r="F16" s="25">
        <f>E16/(1+'Supuestos y CAPM'!$B$15)^11</f>
        <v>2895782.238</v>
      </c>
      <c r="G16" s="25">
        <f t="shared" si="3"/>
        <v>-11326580.62</v>
      </c>
    </row>
    <row r="17">
      <c r="A17" s="28" t="s">
        <v>298</v>
      </c>
      <c r="B17" s="25">
        <f>'Resumen Ejecutivo'!$B$10</f>
        <v>4000000</v>
      </c>
      <c r="C17" s="25">
        <f>-'Inversión Inicial'!$B$18</f>
        <v>-780000</v>
      </c>
      <c r="D17" s="25">
        <v>0.0</v>
      </c>
      <c r="E17" s="25">
        <f t="shared" si="2"/>
        <v>3220000</v>
      </c>
      <c r="F17" s="25">
        <f>E17/(1+'Supuestos y CAPM'!$B$15)^12</f>
        <v>2867978.574</v>
      </c>
      <c r="G17" s="25">
        <f t="shared" si="3"/>
        <v>-8458602.045</v>
      </c>
    </row>
    <row r="18">
      <c r="A18" s="34" t="s">
        <v>299</v>
      </c>
      <c r="B18" s="35">
        <f>'Resumen Ejecutivo'!$B$10</f>
        <v>4000000</v>
      </c>
      <c r="C18" s="35">
        <f>-'Inversión Inicial'!$B$18</f>
        <v>-780000</v>
      </c>
      <c r="D18" s="25">
        <v>0.0</v>
      </c>
      <c r="E18" s="35">
        <f t="shared" si="2"/>
        <v>3220000</v>
      </c>
      <c r="F18" s="25">
        <f>E18/(1+'Supuestos y CAPM'!$B$15)^13</f>
        <v>2840441.865</v>
      </c>
      <c r="G18" s="25">
        <f t="shared" si="3"/>
        <v>-5618160.18</v>
      </c>
    </row>
    <row r="19">
      <c r="A19" s="34" t="s">
        <v>300</v>
      </c>
      <c r="B19" s="35">
        <f>'Resumen Ejecutivo'!$B$10</f>
        <v>4000000</v>
      </c>
      <c r="C19" s="25">
        <f>-'Inversión Inicial'!$B$18</f>
        <v>-780000</v>
      </c>
      <c r="D19" s="25">
        <v>0.0</v>
      </c>
      <c r="E19" s="35">
        <f t="shared" si="2"/>
        <v>3220000</v>
      </c>
      <c r="F19" s="25">
        <f>E19/(1+'Supuestos y CAPM'!$B$15)^14</f>
        <v>2813169.548</v>
      </c>
      <c r="G19" s="25">
        <f t="shared" si="3"/>
        <v>-2804990.632</v>
      </c>
    </row>
    <row r="20">
      <c r="A20" s="34" t="s">
        <v>301</v>
      </c>
      <c r="B20" s="35">
        <f>'Resumen Ejecutivo'!$B$10</f>
        <v>4000000</v>
      </c>
      <c r="C20" s="25">
        <f>-'Inversión Inicial'!$B$18</f>
        <v>-780000</v>
      </c>
      <c r="D20" s="25">
        <v>0.0</v>
      </c>
      <c r="E20" s="35">
        <f t="shared" si="2"/>
        <v>3220000</v>
      </c>
      <c r="F20" s="25">
        <f>E20/(1+'Supuestos y CAPM'!$B$15)^15</f>
        <v>2786159.084</v>
      </c>
      <c r="G20" s="25">
        <f t="shared" si="3"/>
        <v>-18831.54746</v>
      </c>
    </row>
    <row r="21">
      <c r="A21" s="34" t="s">
        <v>302</v>
      </c>
      <c r="B21" s="35">
        <f>'Resumen Ejecutivo'!$B$10</f>
        <v>4000000</v>
      </c>
      <c r="C21" s="25">
        <f>-'Inversión Inicial'!$B$18</f>
        <v>-780000</v>
      </c>
      <c r="D21" s="25">
        <v>0.0</v>
      </c>
      <c r="E21" s="35">
        <f t="shared" si="2"/>
        <v>3220000</v>
      </c>
      <c r="F21" s="25">
        <f>E21/(1+'Supuestos y CAPM'!$B$15)^16</f>
        <v>2759407.96</v>
      </c>
      <c r="G21" s="25">
        <f t="shared" si="3"/>
        <v>2740576.412</v>
      </c>
    </row>
    <row r="22">
      <c r="A22" s="34" t="s">
        <v>303</v>
      </c>
      <c r="B22" s="35">
        <f>'Resumen Ejecutivo'!$B$10</f>
        <v>4000000</v>
      </c>
      <c r="C22" s="25">
        <f>-'Inversión Inicial'!$B$18</f>
        <v>-780000</v>
      </c>
      <c r="D22" s="25">
        <v>0.0</v>
      </c>
      <c r="E22" s="35">
        <f t="shared" si="2"/>
        <v>3220000</v>
      </c>
      <c r="F22" s="25">
        <f>E22/(1+'Supuestos y CAPM'!$B$15)^17</f>
        <v>2732913.685</v>
      </c>
      <c r="G22" s="25">
        <f t="shared" si="3"/>
        <v>5473490.097</v>
      </c>
    </row>
    <row r="23">
      <c r="A23" s="34" t="s">
        <v>304</v>
      </c>
      <c r="B23" s="35">
        <f>'Resumen Ejecutivo'!$B$10</f>
        <v>4000000</v>
      </c>
      <c r="C23" s="25">
        <f>-'Inversión Inicial'!$B$18</f>
        <v>-780000</v>
      </c>
      <c r="D23" s="25">
        <v>0.0</v>
      </c>
      <c r="E23" s="35">
        <f t="shared" si="2"/>
        <v>3220000</v>
      </c>
      <c r="F23" s="25">
        <f>E23/(1+'Supuestos y CAPM'!$B$15)^18</f>
        <v>2706673.792</v>
      </c>
      <c r="G23" s="25">
        <f t="shared" si="3"/>
        <v>8180163.889</v>
      </c>
    </row>
    <row r="24">
      <c r="A24" s="36" t="s">
        <v>305</v>
      </c>
      <c r="B24" s="37">
        <f t="shared" ref="B24:F24" si="4">SUM(B5:B23)</f>
        <v>72000000</v>
      </c>
      <c r="C24" s="37">
        <f t="shared" si="4"/>
        <v>-14040000</v>
      </c>
      <c r="D24" s="37">
        <f t="shared" si="4"/>
        <v>-44770000</v>
      </c>
      <c r="E24" s="37">
        <f t="shared" si="4"/>
        <v>13190000</v>
      </c>
      <c r="F24" s="37">
        <f t="shared" si="4"/>
        <v>8180163.889</v>
      </c>
      <c r="G24" s="37">
        <f>G23</f>
        <v>8180163.889</v>
      </c>
    </row>
    <row r="25">
      <c r="A25" s="3"/>
      <c r="B25" s="3"/>
      <c r="C25" s="3"/>
      <c r="D25" s="3"/>
      <c r="E25" s="3"/>
      <c r="F25" s="3"/>
      <c r="G25" s="3"/>
    </row>
    <row r="26">
      <c r="A26" s="16" t="s">
        <v>306</v>
      </c>
    </row>
    <row r="27" ht="15.0" customHeight="1">
      <c r="A27" s="7" t="s">
        <v>17</v>
      </c>
      <c r="B27" s="7" t="s">
        <v>4</v>
      </c>
      <c r="C27" s="38" t="s">
        <v>307</v>
      </c>
      <c r="D27" s="5"/>
      <c r="E27" s="5"/>
      <c r="F27" s="5"/>
      <c r="G27" s="6"/>
    </row>
    <row r="28" ht="27.75" customHeight="1">
      <c r="A28" s="8" t="s">
        <v>308</v>
      </c>
      <c r="B28" s="29">
        <f>G23</f>
        <v>8180163.889</v>
      </c>
      <c r="C28" s="17" t="s">
        <v>309</v>
      </c>
    </row>
    <row r="29" ht="15.0" customHeight="1">
      <c r="A29" s="8" t="s">
        <v>310</v>
      </c>
      <c r="B29" s="23">
        <f>IRR(E5:E23)</f>
        <v>0.02871839563</v>
      </c>
      <c r="C29" s="17" t="s">
        <v>311</v>
      </c>
    </row>
    <row r="30" ht="41.25" customHeight="1">
      <c r="A30" s="8" t="s">
        <v>312</v>
      </c>
      <c r="B30" s="39" t="s">
        <v>313</v>
      </c>
      <c r="C30" s="17" t="s">
        <v>314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G1"/>
    <mergeCell ref="A2:G2"/>
    <mergeCell ref="A26:G26"/>
    <mergeCell ref="C27:G27"/>
    <mergeCell ref="C28:G28"/>
    <mergeCell ref="C29:G29"/>
    <mergeCell ref="C30:G30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8.57"/>
    <col customWidth="1" min="3" max="3" width="55.0"/>
    <col customWidth="1" min="4" max="9" width="8.71"/>
    <col customWidth="1" min="10" max="10" width="33.71"/>
    <col customWidth="1" min="11" max="11" width="11.86"/>
    <col customWidth="1" min="12" max="12" width="8.71"/>
    <col customWidth="1" min="13" max="13" width="25.57"/>
    <col customWidth="1" min="14" max="14" width="17.57"/>
    <col customWidth="1" min="15" max="26" width="8.71"/>
  </cols>
  <sheetData>
    <row r="1" ht="27.75" customHeight="1">
      <c r="A1" s="33" t="s">
        <v>315</v>
      </c>
    </row>
    <row r="2">
      <c r="A2" s="3"/>
      <c r="B2" s="3"/>
      <c r="C2" s="3"/>
      <c r="J2" s="40" t="s">
        <v>316</v>
      </c>
      <c r="K2" s="41" t="s">
        <v>317</v>
      </c>
      <c r="M2" s="40" t="s">
        <v>318</v>
      </c>
      <c r="N2" s="40" t="s">
        <v>317</v>
      </c>
      <c r="P2" s="42" t="s">
        <v>317</v>
      </c>
    </row>
    <row r="3">
      <c r="A3" s="7" t="s">
        <v>3</v>
      </c>
      <c r="B3" s="7" t="s">
        <v>259</v>
      </c>
      <c r="C3" s="7" t="s">
        <v>260</v>
      </c>
      <c r="J3" s="40" t="s">
        <v>319</v>
      </c>
      <c r="K3" s="43" t="s">
        <v>320</v>
      </c>
      <c r="M3" s="40" t="s">
        <v>321</v>
      </c>
      <c r="N3" s="41" t="s">
        <v>322</v>
      </c>
      <c r="P3" s="44" t="s">
        <v>322</v>
      </c>
    </row>
    <row r="4">
      <c r="A4" s="8" t="s">
        <v>323</v>
      </c>
      <c r="B4" s="13">
        <f>'Costos RRHH'!F12</f>
        <v>44720000</v>
      </c>
      <c r="C4" s="8" t="s">
        <v>324</v>
      </c>
      <c r="J4" s="40" t="s">
        <v>325</v>
      </c>
      <c r="K4" s="43" t="s">
        <v>326</v>
      </c>
      <c r="M4" s="40" t="s">
        <v>327</v>
      </c>
      <c r="N4" s="40" t="s">
        <v>328</v>
      </c>
    </row>
    <row r="5">
      <c r="A5" s="8" t="s">
        <v>329</v>
      </c>
      <c r="B5" s="13">
        <f>'Inversión Inicial'!B10</f>
        <v>50000</v>
      </c>
      <c r="C5" s="8" t="s">
        <v>330</v>
      </c>
      <c r="J5" s="40" t="s">
        <v>331</v>
      </c>
      <c r="K5" s="43" t="s">
        <v>332</v>
      </c>
      <c r="M5" s="40" t="s">
        <v>333</v>
      </c>
      <c r="N5" s="40" t="s">
        <v>332</v>
      </c>
    </row>
    <row r="6">
      <c r="A6" s="8" t="s">
        <v>334</v>
      </c>
      <c r="B6" s="29">
        <f>B4+B5</f>
        <v>44770000</v>
      </c>
      <c r="C6" s="8" t="s">
        <v>335</v>
      </c>
      <c r="J6" s="40" t="s">
        <v>336</v>
      </c>
      <c r="K6" s="43" t="s">
        <v>332</v>
      </c>
      <c r="M6" s="40" t="s">
        <v>337</v>
      </c>
      <c r="N6" s="40" t="s">
        <v>332</v>
      </c>
    </row>
    <row r="7">
      <c r="A7" s="15" t="s">
        <v>338</v>
      </c>
      <c r="B7" s="13">
        <f>'Inversión Inicial'!B18*18</f>
        <v>14040000</v>
      </c>
      <c r="C7" s="15" t="s">
        <v>339</v>
      </c>
      <c r="J7" s="40" t="s">
        <v>340</v>
      </c>
      <c r="K7" s="43" t="s">
        <v>332</v>
      </c>
      <c r="M7" s="45"/>
      <c r="N7" s="40" t="s">
        <v>332</v>
      </c>
    </row>
    <row r="8">
      <c r="A8" s="8" t="s">
        <v>341</v>
      </c>
      <c r="B8" s="13">
        <f>'Resumen Ejecutivo'!B10</f>
        <v>4000000</v>
      </c>
      <c r="C8" s="8" t="s">
        <v>342</v>
      </c>
      <c r="J8" s="40" t="s">
        <v>343</v>
      </c>
      <c r="K8" s="43" t="s">
        <v>344</v>
      </c>
      <c r="M8" s="40" t="s">
        <v>343</v>
      </c>
      <c r="N8" s="40" t="s">
        <v>345</v>
      </c>
    </row>
    <row r="9">
      <c r="A9" s="15" t="s">
        <v>346</v>
      </c>
      <c r="B9" s="13">
        <f>B8*18</f>
        <v>72000000</v>
      </c>
      <c r="C9" s="8" t="s">
        <v>347</v>
      </c>
    </row>
    <row r="10">
      <c r="A10" s="8" t="s">
        <v>348</v>
      </c>
      <c r="B10" s="13">
        <f>B9-B7</f>
        <v>57960000</v>
      </c>
      <c r="C10" s="8" t="s">
        <v>349</v>
      </c>
    </row>
    <row r="11">
      <c r="A11" s="15" t="s">
        <v>350</v>
      </c>
      <c r="B11" s="29">
        <f>B10-B6</f>
        <v>13190000</v>
      </c>
      <c r="C11" s="15" t="s">
        <v>351</v>
      </c>
    </row>
    <row r="12">
      <c r="A12" s="15" t="s">
        <v>352</v>
      </c>
      <c r="B12" s="29">
        <f>'Flujo de Caja'!B28</f>
        <v>8180163.889</v>
      </c>
      <c r="C12" s="8" t="s">
        <v>353</v>
      </c>
    </row>
    <row r="13">
      <c r="A13" s="8" t="s">
        <v>310</v>
      </c>
      <c r="B13" s="23">
        <f>'Flujo de Caja'!B29</f>
        <v>0.02871839563</v>
      </c>
      <c r="C13" s="8" t="s">
        <v>354</v>
      </c>
    </row>
    <row r="14">
      <c r="A14" s="8" t="s">
        <v>355</v>
      </c>
      <c r="B14" s="22">
        <f>(1+B13)^12-1</f>
        <v>0.4046174902</v>
      </c>
      <c r="C14" s="8" t="s">
        <v>356</v>
      </c>
    </row>
    <row r="15">
      <c r="A15" s="15" t="s">
        <v>357</v>
      </c>
      <c r="B15" s="22">
        <f>B11/B6</f>
        <v>0.294616931</v>
      </c>
      <c r="C15" s="8" t="s">
        <v>358</v>
      </c>
    </row>
    <row r="16">
      <c r="A16" s="8" t="s">
        <v>33</v>
      </c>
      <c r="B16" s="27" t="str">
        <f>'Flujo de Caja'!B30</f>
        <v>Al mes 16 comienza a recuperar</v>
      </c>
      <c r="C16" s="8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2.0"/>
    <col customWidth="1" min="3" max="3" width="55.0"/>
    <col customWidth="1" min="4" max="26" width="8.71"/>
  </cols>
  <sheetData>
    <row r="1" ht="27.75" customHeight="1">
      <c r="A1" s="1" t="s">
        <v>360</v>
      </c>
    </row>
    <row r="2">
      <c r="A2" s="3"/>
      <c r="B2" s="3"/>
      <c r="C2" s="3"/>
    </row>
    <row r="3">
      <c r="A3" s="7" t="s">
        <v>17</v>
      </c>
      <c r="B3" s="7" t="s">
        <v>4</v>
      </c>
      <c r="C3" s="7" t="s">
        <v>18</v>
      </c>
    </row>
    <row r="4">
      <c r="A4" s="8" t="s">
        <v>361</v>
      </c>
      <c r="B4" s="13">
        <f>'Inversión Inicial'!B11</f>
        <v>44770000</v>
      </c>
      <c r="C4" s="8" t="s">
        <v>362</v>
      </c>
    </row>
    <row r="5">
      <c r="A5" s="8" t="s">
        <v>363</v>
      </c>
      <c r="B5" s="13">
        <f>'Inversión Inicial'!B18</f>
        <v>780000</v>
      </c>
      <c r="C5" s="15" t="s">
        <v>339</v>
      </c>
    </row>
    <row r="6">
      <c r="A6" s="8" t="s">
        <v>341</v>
      </c>
      <c r="B6" s="13">
        <f>'Resumen Ejecutivo'!B10</f>
        <v>4000000</v>
      </c>
      <c r="C6" s="8" t="s">
        <v>364</v>
      </c>
    </row>
    <row r="7">
      <c r="A7" s="8" t="s">
        <v>365</v>
      </c>
      <c r="B7" s="13">
        <f>B6-B5</f>
        <v>3220000</v>
      </c>
      <c r="C7" s="8" t="s">
        <v>366</v>
      </c>
    </row>
    <row r="8">
      <c r="A8" s="8" t="s">
        <v>367</v>
      </c>
      <c r="B8" s="9">
        <f>'Supuestos y CAPM'!B15</f>
        <v>0.009694515935</v>
      </c>
      <c r="C8" s="8" t="s">
        <v>368</v>
      </c>
    </row>
    <row r="9">
      <c r="A9" s="8" t="s">
        <v>369</v>
      </c>
      <c r="B9" s="10">
        <f>'Supuestos y CAPM'!B14</f>
        <v>0.122742</v>
      </c>
      <c r="C9" s="8" t="s">
        <v>370</v>
      </c>
    </row>
    <row r="10">
      <c r="A10" s="8" t="s">
        <v>371</v>
      </c>
      <c r="B10" s="13">
        <f>'Flujo de Caja'!B28</f>
        <v>8180163.889</v>
      </c>
      <c r="C10" s="8" t="s">
        <v>372</v>
      </c>
    </row>
    <row r="11">
      <c r="A11" s="8" t="s">
        <v>310</v>
      </c>
      <c r="B11" s="9">
        <f>'Flujo de Caja'!B29</f>
        <v>0.02871839563</v>
      </c>
      <c r="C11" s="8" t="s">
        <v>373</v>
      </c>
    </row>
    <row r="12">
      <c r="A12" s="8" t="s">
        <v>374</v>
      </c>
      <c r="B12" s="9">
        <f>B11-B8</f>
        <v>0.01902387969</v>
      </c>
      <c r="C12" s="8" t="s">
        <v>375</v>
      </c>
    </row>
    <row r="13">
      <c r="A13" s="8" t="s">
        <v>376</v>
      </c>
      <c r="B13" s="10">
        <f>'Evaluación'!B15</f>
        <v>0.294616931</v>
      </c>
      <c r="C13" s="8" t="s">
        <v>377</v>
      </c>
    </row>
    <row r="14">
      <c r="A14" s="8" t="s">
        <v>378</v>
      </c>
      <c r="B14" s="11" t="str">
        <f>'Flujo de Caja'!B30</f>
        <v>Al mes 16 comienza a recuperar</v>
      </c>
      <c r="C14" s="8" t="s">
        <v>34</v>
      </c>
    </row>
    <row r="15">
      <c r="A15" s="8" t="s">
        <v>379</v>
      </c>
      <c r="B15" s="10">
        <f>B7/B6</f>
        <v>0.805</v>
      </c>
      <c r="C15" s="8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2026-04-20T01:40:17Z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