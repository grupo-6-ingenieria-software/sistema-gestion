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érdidas por Robos 2025" sheetId="1" r:id="rId4"/>
  </sheets>
  <definedNames>
    <definedName name="_xlchart.v1.0">'Pérdidas por Robos 2025'!$A$4:$A$15</definedName>
    <definedName name="_xlchart.v1.3">'Pérdidas por Robos 2025'!$A$4:$A$15</definedName>
    <definedName name="_xlchart.v1.5">'Pérdidas por Robos 2025'!$B$4:$B$15</definedName>
    <definedName name="_xlchart.v1.4">'Pérdidas por Robos 2025'!$B$3</definedName>
    <definedName name="_xlchart.v1.2">'Pérdidas por Robos 2025'!$B$4:$B$15</definedName>
    <definedName name="_xlchart.v1.1">'Pérdidas por Robos 2025'!$B$3</definedName>
  </definedNames>
  <calcPr/>
  <extLst>
    <ext uri="GoogleSheetsCustomDataVersion2">
      <go:sheetsCustomData xmlns:go="http://customooxmlschemas.google.com/" r:id="rId5" roundtripDataChecksum="+FAReqAQLwF5IRCia4D3PHYNsnhECetR7dqgObFn7YQ="/>
    </ext>
  </extLst>
</workbook>
</file>

<file path=xl/sharedStrings.xml><?xml version="1.0" encoding="utf-8"?>
<sst xmlns="http://schemas.openxmlformats.org/spreadsheetml/2006/main" count="19" uniqueCount="19">
  <si>
    <t>Minimarket Huáscar - Pérdidas por Robos Mensuales 2025</t>
  </si>
  <si>
    <t>Mes</t>
  </si>
  <si>
    <t>Monto Perdido (CLP)</t>
  </si>
  <si>
    <t>% de Ingresos Mensuales</t>
  </si>
  <si>
    <t>Ingresos Mensuales (CLP)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</si>
  <si>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</si>
  <si>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</si>
  <si>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</si>
  <si>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</si>
  <si>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</si>
  <si>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</si>
  <si>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</si>
  <si>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</si>
  <si>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</si>
  <si>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</si>
  <si>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</si>
  <si>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</si>
  <si>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</si>
  <si>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Fuente: Elaborado de acuerdo con los datos del proyecto - Minimarket Huáscar, Rengo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</si>
</sst>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8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5C99"/>
        <bgColor rgb="FF1F5C99"/>
      </patternFill>
    </fill>
    <fill>
      <patternFill patternType="solid">
        <fgColor rgb="FFEBF3FB"/>
        <bgColor rgb="FFEBF3FB"/>
      </patternFill>
    </fill>
    <fill>
      <patternFill patternType="solid">
        <fgColor rgb="FFBDD7EE"/>
        <bgColor rgb="FFBDD7EE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wrapText="1"/>
    </xf>
    <xf borderId="2" fillId="3" fontId="3" numFmtId="0" xfId="0" applyAlignment="1" applyBorder="1" applyFill="1" applyFont="1">
      <alignment horizontal="center"/>
    </xf>
    <xf borderId="2" fillId="3" fontId="4" numFmtId="164" xfId="0" applyAlignment="1" applyBorder="1" applyFont="1" applyNumberFormat="1">
      <alignment horizontal="center"/>
    </xf>
    <xf borderId="2" fillId="3" fontId="3" numFmtId="165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3" numFmtId="165" xfId="0" applyAlignment="1" applyBorder="1" applyFont="1" applyNumberFormat="1">
      <alignment horizontal="center"/>
    </xf>
    <xf borderId="2" fillId="4" fontId="5" numFmtId="0" xfId="0" applyAlignment="1" applyBorder="1" applyFill="1" applyFont="1">
      <alignment horizontal="center"/>
    </xf>
    <xf borderId="2" fillId="4" fontId="5" numFmtId="164" xfId="0" applyAlignment="1" applyBorder="1" applyFont="1" applyNumberFormat="1">
      <alignment horizontal="center"/>
    </xf>
    <xf borderId="2" fillId="4" fontId="5" numFmtId="165" xfId="0" applyAlignment="1" applyBorder="1" applyFont="1" applyNumberFormat="1">
      <alignment horizontal="center"/>
    </xf>
    <xf borderId="2" fillId="4" fontId="6" numFmtId="164" xfId="0" applyAlignment="1" applyBorder="1" applyFont="1" applyNumberForma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Histograma de Perdidas (CLP)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Monto Perdido (CLP)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'Pérdidas por Robos 2025'!$A$4:$A$15</c:f>
            </c:strRef>
          </c:cat>
          <c:val>
            <c:numRef>
              <c:f>'Pérdidas por Robos 2025'!$B$4:$B$15</c:f>
              <c:numCache/>
            </c:numRef>
          </c:val>
        </c:ser>
        <c:axId val="206353310"/>
        <c:axId val="1735932838"/>
      </c:barChart>
      <c:catAx>
        <c:axId val="206353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5932838"/>
      </c:catAx>
      <c:valAx>
        <c:axId val="1735932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 perdido (CLP)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0635331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17</xdr:row>
      <xdr:rowOff>85725</xdr:rowOff>
    </xdr:from>
    <xdr:ext cx="4343400" cy="2876550"/>
    <xdr:graphicFrame>
      <xdr:nvGraphicFramePr>
        <xdr:cNvPr id="1762152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4" width="24.0"/>
    <col customWidth="1" min="5" max="26" width="8.71"/>
  </cols>
  <sheetData>
    <row r="1">
      <c r="A1" s="1" t="s">
        <v>0</v>
      </c>
    </row>
    <row r="3" ht="30.0" customHeight="1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>
        <v>1400000.0</v>
      </c>
      <c r="C4" s="5">
        <f t="shared" ref="C4:C15" si="1">B4/40000000</f>
        <v>0.035</v>
      </c>
      <c r="D4" s="4">
        <v>4.0E7</v>
      </c>
    </row>
    <row r="5">
      <c r="A5" s="6" t="s">
        <v>6</v>
      </c>
      <c r="B5" s="7">
        <v>1520000.0</v>
      </c>
      <c r="C5" s="8">
        <f t="shared" si="1"/>
        <v>0.038</v>
      </c>
      <c r="D5" s="7">
        <v>4.0E7</v>
      </c>
    </row>
    <row r="6">
      <c r="A6" s="3" t="s">
        <v>7</v>
      </c>
      <c r="B6" s="4">
        <v>1640000.0</v>
      </c>
      <c r="C6" s="5">
        <f t="shared" si="1"/>
        <v>0.041</v>
      </c>
      <c r="D6" s="4">
        <v>4.0E7</v>
      </c>
    </row>
    <row r="7">
      <c r="A7" s="6" t="s">
        <v>8</v>
      </c>
      <c r="B7" s="7">
        <v>1560000.0</v>
      </c>
      <c r="C7" s="8">
        <f t="shared" si="1"/>
        <v>0.039</v>
      </c>
      <c r="D7" s="7">
        <v>4.0E7</v>
      </c>
    </row>
    <row r="8">
      <c r="A8" s="3" t="s">
        <v>9</v>
      </c>
      <c r="B8" s="4">
        <v>1680000.0</v>
      </c>
      <c r="C8" s="5">
        <f t="shared" si="1"/>
        <v>0.042</v>
      </c>
      <c r="D8" s="4">
        <v>4.0E7</v>
      </c>
    </row>
    <row r="9">
      <c r="A9" s="6" t="s">
        <v>10</v>
      </c>
      <c r="B9" s="7">
        <v>1440000.0</v>
      </c>
      <c r="C9" s="8">
        <f t="shared" si="1"/>
        <v>0.036</v>
      </c>
      <c r="D9" s="7">
        <v>4.0E7</v>
      </c>
    </row>
    <row r="10">
      <c r="A10" s="3" t="s">
        <v>11</v>
      </c>
      <c r="B10" s="4">
        <v>1600000.0</v>
      </c>
      <c r="C10" s="5">
        <f t="shared" si="1"/>
        <v>0.04</v>
      </c>
      <c r="D10" s="4">
        <v>4.0E7</v>
      </c>
    </row>
    <row r="11">
      <c r="A11" s="6" t="s">
        <v>12</v>
      </c>
      <c r="B11" s="7">
        <v>1720000.0</v>
      </c>
      <c r="C11" s="8">
        <f t="shared" si="1"/>
        <v>0.043</v>
      </c>
      <c r="D11" s="7">
        <v>4.0E7</v>
      </c>
    </row>
    <row r="12">
      <c r="A12" s="3" t="s">
        <v>13</v>
      </c>
      <c r="B12" s="4">
        <v>1480000.0</v>
      </c>
      <c r="C12" s="5">
        <f t="shared" si="1"/>
        <v>0.037</v>
      </c>
      <c r="D12" s="4">
        <v>4.0E7</v>
      </c>
    </row>
    <row r="13">
      <c r="A13" s="6" t="s">
        <v>14</v>
      </c>
      <c r="B13" s="7">
        <v>1640000.0</v>
      </c>
      <c r="C13" s="8">
        <f t="shared" si="1"/>
        <v>0.041</v>
      </c>
      <c r="D13" s="7">
        <v>4.0E7</v>
      </c>
    </row>
    <row r="14">
      <c r="A14" s="3" t="s">
        <v>15</v>
      </c>
      <c r="B14" s="4">
        <v>1560000.0</v>
      </c>
      <c r="C14" s="5">
        <f t="shared" si="1"/>
        <v>0.039</v>
      </c>
      <c r="D14" s="4">
        <v>4.0E7</v>
      </c>
    </row>
    <row r="15">
      <c r="A15" s="6" t="s">
        <v>16</v>
      </c>
      <c r="B15" s="7">
        <v>1800000.0</v>
      </c>
      <c r="C15" s="8">
        <f t="shared" si="1"/>
        <v>0.045</v>
      </c>
      <c r="D15" s="7">
        <v>4.0E7</v>
      </c>
    </row>
    <row r="16">
      <c r="A16" s="9" t="s">
        <v>17</v>
      </c>
      <c r="B16" s="10">
        <f>SUM(B4:B15)</f>
        <v>19040000</v>
      </c>
      <c r="C16" s="11">
        <f>AVERAGE(C4:C15)</f>
        <v>0.03966666667</v>
      </c>
      <c r="D16" s="12">
        <f>40000000*12</f>
        <v>480000000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13" t="s">
        <v>18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2026-04-19T20:39:03Z</dcterms:created>
  <dc:creator>openpyxl</dc:creator>
</cp:coreProperties>
</file>