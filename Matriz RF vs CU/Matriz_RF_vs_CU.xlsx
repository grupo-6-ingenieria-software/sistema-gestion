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F vs CU" sheetId="1" r:id="rId4"/>
    <sheet state="visible" name="Referencia CU" sheetId="2" r:id="rId5"/>
    <sheet state="visible" name="Resumen Cobertura" sheetId="3" r:id="rId6"/>
  </sheets>
  <definedNames/>
  <calcPr/>
  <extLst>
    <ext uri="GoogleSheetsCustomDataVersion2">
      <go:sheetsCustomData xmlns:go="http://customooxmlschemas.google.com/" r:id="rId7" roundtripDataChecksum="i0BpbT3v/Rcwi14gAKIOTw16fjDyGxjl5WtNTujk3ek="/>
    </ext>
  </extLst>
</workbook>
</file>

<file path=xl/sharedStrings.xml><?xml version="1.0" encoding="utf-8"?>
<sst xmlns="http://schemas.openxmlformats.org/spreadsheetml/2006/main" count="513" uniqueCount="297">
  <si>
    <t>MATRIZ DE TRAZABILIDAD — Requerimientos Funcionales vs Casos de Uso</t>
  </si>
  <si>
    <t>ID RF</t>
  </si>
  <si>
    <t>Descripción RF</t>
  </si>
  <si>
    <t>Módulo</t>
  </si>
  <si>
    <t>CU01</t>
  </si>
  <si>
    <t>CU02</t>
  </si>
  <si>
    <t>CU03</t>
  </si>
  <si>
    <t>CU04</t>
  </si>
  <si>
    <t>CU05</t>
  </si>
  <si>
    <t>CU06</t>
  </si>
  <si>
    <t>CU07</t>
  </si>
  <si>
    <t>CU08</t>
  </si>
  <si>
    <t>CU09</t>
  </si>
  <si>
    <t>CU10</t>
  </si>
  <si>
    <t>CU11</t>
  </si>
  <si>
    <t>CU12</t>
  </si>
  <si>
    <t>CU13</t>
  </si>
  <si>
    <t>CU14</t>
  </si>
  <si>
    <t>CU15</t>
  </si>
  <si>
    <t>CU16</t>
  </si>
  <si>
    <t>CU17</t>
  </si>
  <si>
    <t>CU18</t>
  </si>
  <si>
    <t>CU18b</t>
  </si>
  <si>
    <t>CU19</t>
  </si>
  <si>
    <t>CU20</t>
  </si>
  <si>
    <t>CU21</t>
  </si>
  <si>
    <t>CU21b</t>
  </si>
  <si>
    <t>CU22</t>
  </si>
  <si>
    <t>CU23</t>
  </si>
  <si>
    <t>CU24</t>
  </si>
  <si>
    <t>CU25</t>
  </si>
  <si>
    <t>CU26</t>
  </si>
  <si>
    <t>CU27</t>
  </si>
  <si>
    <t>CU28</t>
  </si>
  <si>
    <t>CU29</t>
  </si>
  <si>
    <t>CU29b</t>
  </si>
  <si>
    <t>CU30</t>
  </si>
  <si>
    <t>CU31</t>
  </si>
  <si>
    <t>CU32</t>
  </si>
  <si>
    <t>CU33</t>
  </si>
  <si>
    <t>CU34</t>
  </si>
  <si>
    <t>CU35</t>
  </si>
  <si>
    <t>CU35b</t>
  </si>
  <si>
    <t>CU35c</t>
  </si>
  <si>
    <t>CU36</t>
  </si>
  <si>
    <t>CU37</t>
  </si>
  <si>
    <t>CU38</t>
  </si>
  <si>
    <t>CU39</t>
  </si>
  <si>
    <t>CU40</t>
  </si>
  <si>
    <t>CU41</t>
  </si>
  <si>
    <t>CU42</t>
  </si>
  <si>
    <t>CU43</t>
  </si>
  <si>
    <t>CU44</t>
  </si>
  <si>
    <t>CU45</t>
  </si>
  <si>
    <t>CU46</t>
  </si>
  <si>
    <t>CU47</t>
  </si>
  <si>
    <t>CU48</t>
  </si>
  <si>
    <t>CU49</t>
  </si>
  <si>
    <t>CU50</t>
  </si>
  <si>
    <t>CU51</t>
  </si>
  <si>
    <t>CU52</t>
  </si>
  <si>
    <t>CU53</t>
  </si>
  <si>
    <t>CU54</t>
  </si>
  <si>
    <t>CU55</t>
  </si>
  <si>
    <t>CU55b</t>
  </si>
  <si>
    <t>CU56</t>
  </si>
  <si>
    <t>CU57</t>
  </si>
  <si>
    <t>CU58</t>
  </si>
  <si>
    <t>CU59</t>
  </si>
  <si>
    <t>CU60</t>
  </si>
  <si>
    <t>CU61</t>
  </si>
  <si>
    <t>CU62</t>
  </si>
  <si>
    <t xml:space="preserve">  ▶  GESTIÓN DE PRODUCTOS</t>
  </si>
  <si>
    <t>RF01</t>
  </si>
  <si>
    <t>Registrar nuevo producto (EAN, nombre, categoría, precio, stock mínimo)</t>
  </si>
  <si>
    <t>Gestión de Productos</t>
  </si>
  <si>
    <t>✓</t>
  </si>
  <si>
    <t>RF02</t>
  </si>
  <si>
    <t>Modificar producto existente (campos editables, EAN no editable)</t>
  </si>
  <si>
    <t>RF03</t>
  </si>
  <si>
    <t>Eliminar producto (validar sin registros asociados)</t>
  </si>
  <si>
    <t>RF04</t>
  </si>
  <si>
    <t>Cambiar estado producto activo/inactivo</t>
  </si>
  <si>
    <t>RF05</t>
  </si>
  <si>
    <t>Registrar lote con cantidad, vencimiento, costo y proveedor</t>
  </si>
  <si>
    <t>RF06</t>
  </si>
  <si>
    <t>Listar productos activos con búsqueda, filtro y ordenamiento</t>
  </si>
  <si>
    <t>RF07</t>
  </si>
  <si>
    <t>Ver detalle de producto y lotes activos</t>
  </si>
  <si>
    <t xml:space="preserve">  ▶  CONTROL DE STOCK</t>
  </si>
  <si>
    <t>RF08</t>
  </si>
  <si>
    <t>Alerta dashboard: stock bajo mínimo</t>
  </si>
  <si>
    <t>Control de Stock</t>
  </si>
  <si>
    <t>RF09</t>
  </si>
  <si>
    <t>Alerta dashboard: lotes próximos a vencer o vencidos</t>
  </si>
  <si>
    <t>RF10</t>
  </si>
  <si>
    <t>Registrar merma con FEFO</t>
  </si>
  <si>
    <t>RF11</t>
  </si>
  <si>
    <t>Ajuste manual de stock por lote con justificación</t>
  </si>
  <si>
    <t>RF12</t>
  </si>
  <si>
    <t>Historial de movimientos por producto</t>
  </si>
  <si>
    <t xml:space="preserve">  ▶  PROVEEDORES Y COMPRAS</t>
  </si>
  <si>
    <t>RF13</t>
  </si>
  <si>
    <t>Registrar proveedor (RUT, razón social, contacto, categorías)</t>
  </si>
  <si>
    <t>Proveedores y Compras</t>
  </si>
  <si>
    <t>RF14</t>
  </si>
  <si>
    <t>Modificar datos de proveedor</t>
  </si>
  <si>
    <t>RF15</t>
  </si>
  <si>
    <t>Listar proveedores con búsqueda y filtros</t>
  </si>
  <si>
    <t>RF16</t>
  </si>
  <si>
    <t>Generar lista de reabastecimiento y exportar PDF/Excel</t>
  </si>
  <si>
    <t>RF17</t>
  </si>
  <si>
    <t>Registrar pedido a proveedor (estado Pendiente)</t>
  </si>
  <si>
    <t>RF18</t>
  </si>
  <si>
    <t>Confirmar recepción de pedido (total/parcial/cancelado)</t>
  </si>
  <si>
    <t xml:space="preserve">  ▶  VALORIZACIÓN Y EXPORTACIÓN</t>
  </si>
  <si>
    <t>RF19</t>
  </si>
  <si>
    <t>Calcular y mostrar valor total del inventario por categoría</t>
  </si>
  <si>
    <t>Valorización y Exportación</t>
  </si>
  <si>
    <t>RF20</t>
  </si>
  <si>
    <t>Exportar listado de productos en Excel/PDF</t>
  </si>
  <si>
    <t xml:space="preserve">  ▶  GESTIÓN DE TRABAJADORES</t>
  </si>
  <si>
    <t>RF21</t>
  </si>
  <si>
    <t>Registrar trabajador y generar credenciales si aplica</t>
  </si>
  <si>
    <t>Gestión de Trabajadores</t>
  </si>
  <si>
    <t>RF22</t>
  </si>
  <si>
    <t>Modificar datos de trabajador y generar contraseña temporal</t>
  </si>
  <si>
    <t>RF23</t>
  </si>
  <si>
    <t>Cambiar estado trabajador activo/inactivo</t>
  </si>
  <si>
    <t>RF24</t>
  </si>
  <si>
    <t>Listar trabajadores con filtros por cargo y estado</t>
  </si>
  <si>
    <t xml:space="preserve">  ▶  GESTIÓN DE TURNOS</t>
  </si>
  <si>
    <t>RF25</t>
  </si>
  <si>
    <t>Crear turno de trabajo (sin solapamiento)</t>
  </si>
  <si>
    <t>Gestión de Turnos</t>
  </si>
  <si>
    <t>RF26</t>
  </si>
  <si>
    <t>Modificar turno futuro</t>
  </si>
  <si>
    <t>RF27</t>
  </si>
  <si>
    <t>Eliminar turno futuro sin asistencia</t>
  </si>
  <si>
    <t>RF28</t>
  </si>
  <si>
    <t>Ver calendario semanal de turnos con filtros</t>
  </si>
  <si>
    <t xml:space="preserve">  ▶  ASISTENCIA Y RRHH</t>
  </si>
  <si>
    <t>RF29</t>
  </si>
  <si>
    <t>Registrar entrada de trabajador (sin duplicados)</t>
  </si>
  <si>
    <t>Asistencia y RRHH</t>
  </si>
  <si>
    <t>RF30</t>
  </si>
  <si>
    <t>Registrar salida (requiere entrada previa)</t>
  </si>
  <si>
    <t>RF31</t>
  </si>
  <si>
    <t>Calcular horas trabajadas automáticamente (HH:MM)</t>
  </si>
  <si>
    <t>RF32</t>
  </si>
  <si>
    <t>Registrar ausencia justificada/injustificada</t>
  </si>
  <si>
    <t>RF33</t>
  </si>
  <si>
    <t>Resumen mensual de asistencia por trabajador</t>
  </si>
  <si>
    <t>RF34</t>
  </si>
  <si>
    <t>Registrar remuneración mensual con descuentos previsionales</t>
  </si>
  <si>
    <t xml:space="preserve">  ▶  PROCESO DE VENTA</t>
  </si>
  <si>
    <t>RF35</t>
  </si>
  <si>
    <t>Registrar venta (EAN, cantidad, método de pago, vuelto)</t>
  </si>
  <si>
    <t>Proceso de Venta</t>
  </si>
  <si>
    <t>RF36</t>
  </si>
  <si>
    <t>Aplicar descuento a venta (% o monto fijo)</t>
  </si>
  <si>
    <t>RF37</t>
  </si>
  <si>
    <t>Anular venta (cajero: día; dueño: cualquier día)</t>
  </si>
  <si>
    <t>RF38</t>
  </si>
  <si>
    <t>Descontar stock FEFO al confirmar venta</t>
  </si>
  <si>
    <t>RF39</t>
  </si>
  <si>
    <t>Historial de ventas del día (cajero: propias; dueño: todas)</t>
  </si>
  <si>
    <t>RF40</t>
  </si>
  <si>
    <t>Buscar ventas por rango de fechas o número y ver detalle</t>
  </si>
  <si>
    <t>RF41</t>
  </si>
  <si>
    <t>Cierre de caja diario con resumen previo</t>
  </si>
  <si>
    <t>RF42</t>
  </si>
  <si>
    <t>Asociar cajero en sesión a cada venta automáticamente</t>
  </si>
  <si>
    <t>RF43</t>
  </si>
  <si>
    <t>Dashboard: total ventas del día en tiempo real</t>
  </si>
  <si>
    <t>RF44</t>
  </si>
  <si>
    <t>Registrar categoría de producto vendido para reportes</t>
  </si>
  <si>
    <t xml:space="preserve">  ▶  SISTEMA DE REPORTES</t>
  </si>
  <si>
    <t>RF45</t>
  </si>
  <si>
    <t>Reporte diario de ventas (top 5 productos, cierre caja)</t>
  </si>
  <si>
    <t>Sistema de Reportes</t>
  </si>
  <si>
    <t>RF46</t>
  </si>
  <si>
    <t>Reporte mensual de ventas (gráfico barras, comparación mes anterior)</t>
  </si>
  <si>
    <t>RF47</t>
  </si>
  <si>
    <t>Reporte 20 productos más vendidos en rango de fechas</t>
  </si>
  <si>
    <t>RF48</t>
  </si>
  <si>
    <t>Reporte de mermas y pérdidas por motivo y costo</t>
  </si>
  <si>
    <t>RF49</t>
  </si>
  <si>
    <t>Reporte lotes próximos a vencer (horizonte 1-30 días)</t>
  </si>
  <si>
    <t>RF50</t>
  </si>
  <si>
    <t>Reporte rentabilidad por categoría en rango de fechas</t>
  </si>
  <si>
    <t>RF51</t>
  </si>
  <si>
    <t>Reporte de asistencia mensual del personal</t>
  </si>
  <si>
    <t>RF52</t>
  </si>
  <si>
    <t>Reporte de movimientos de inventario para auditoría</t>
  </si>
  <si>
    <t>RF53</t>
  </si>
  <si>
    <t>Exportar reportes en PDF o Excel con encabezado institucional</t>
  </si>
  <si>
    <t xml:space="preserve">  ▶  SISTEMA DE ACCESO</t>
  </si>
  <si>
    <t>RF54</t>
  </si>
  <si>
    <t>Dashboard con KPIs según rol (dueño/cajero/reponedor)</t>
  </si>
  <si>
    <t>Sistema de Acceso</t>
  </si>
  <si>
    <t>RF55</t>
  </si>
  <si>
    <t>Autenticación usuario/contraseña (bloqueo 5 intentos, expiración 30 min)</t>
  </si>
  <si>
    <t>RF56</t>
  </si>
  <si>
    <t>Control de acceso por roles (módulos y columnas permitidas)</t>
  </si>
  <si>
    <t>RF57</t>
  </si>
  <si>
    <t>Log de auditoría automático por acción (retención 12 meses)</t>
  </si>
  <si>
    <t>RF58</t>
  </si>
  <si>
    <t>Restablecer contraseña (clave temporal 24 h, cambio obligatorio)</t>
  </si>
  <si>
    <t xml:space="preserve">  ▶  LECTOR EAN</t>
  </si>
  <si>
    <t>RF59</t>
  </si>
  <si>
    <t>Lector EAN-13: capturar y decodificar 13 dígitos</t>
  </si>
  <si>
    <t>Lector EAN</t>
  </si>
  <si>
    <t>RF60</t>
  </si>
  <si>
    <t>Transmitir código EAN al campo activo del módulo</t>
  </si>
  <si>
    <t>RF61</t>
  </si>
  <si>
    <t>Detección de Lectura Fallida</t>
  </si>
  <si>
    <t>TOTAL RF cubiertos por CU →</t>
  </si>
  <si>
    <t>REFERENCIA DE CASOS DE USO</t>
  </si>
  <si>
    <t>ID CU</t>
  </si>
  <si>
    <t>Nombre del Caso de Uso</t>
  </si>
  <si>
    <t>Registrando nuevo producto</t>
  </si>
  <si>
    <t>Modificando producto existente</t>
  </si>
  <si>
    <t>Eliminando producto</t>
  </si>
  <si>
    <t>Cambiando estado de producto</t>
  </si>
  <si>
    <t>Registrando lote con vencimiento</t>
  </si>
  <si>
    <t>Listando productos del inventario</t>
  </si>
  <si>
    <t>Viendo detalle de producto y lotes</t>
  </si>
  <si>
    <t>Alertando stock bajo mínimo</t>
  </si>
  <si>
    <t>Alertando productos próximos a vencer</t>
  </si>
  <si>
    <t>Registrando merma de producto</t>
  </si>
  <si>
    <t>Ajustando manualmente el stock</t>
  </si>
  <si>
    <t>Consultando historial de movimientos</t>
  </si>
  <si>
    <t>Registrando proveedor</t>
  </si>
  <si>
    <t>Editando proveedor</t>
  </si>
  <si>
    <t>Consultando listado de proveedores</t>
  </si>
  <si>
    <t>Generando lista de reabastecimiento</t>
  </si>
  <si>
    <t>Registrando pedido a proveedor</t>
  </si>
  <si>
    <t>Confirmando recepción de pedido</t>
  </si>
  <si>
    <t>Cancelando recepción de pedido</t>
  </si>
  <si>
    <t>Consultando valor total inventario</t>
  </si>
  <si>
    <t>Exportando listado de inventario</t>
  </si>
  <si>
    <t>Registrando trabajador</t>
  </si>
  <si>
    <t>Registrando trabajador operativo sin acceso</t>
  </si>
  <si>
    <t>Modificando datos de trabajador</t>
  </si>
  <si>
    <t>Cambiando estado de trabajador</t>
  </si>
  <si>
    <t>Consultando listado de trabajadores</t>
  </si>
  <si>
    <t>Creando turno de trabajo</t>
  </si>
  <si>
    <t>Editando turno de trabajo</t>
  </si>
  <si>
    <t>Eliminando turno de trabajo</t>
  </si>
  <si>
    <t>Viendo calendario semanal de turnos</t>
  </si>
  <si>
    <t>Registrando asistencia de entrada</t>
  </si>
  <si>
    <t>Registrando entrada sin turno</t>
  </si>
  <si>
    <t>Registrando asistencia de salida</t>
  </si>
  <si>
    <t>Calculando horas trabajadas por día</t>
  </si>
  <si>
    <t>Registrando ausencia de trabajador</t>
  </si>
  <si>
    <t>Consultando resumen mensual asistencia</t>
  </si>
  <si>
    <t>Registrando remuneración mensual</t>
  </si>
  <si>
    <t>Registrando venta</t>
  </si>
  <si>
    <t>Registrando venta pago efectivo</t>
  </si>
  <si>
    <t>Registrando venta pago tarjeta</t>
  </si>
  <si>
    <t>Aplicando descuento a venta</t>
  </si>
  <si>
    <t>Anulando venta</t>
  </si>
  <si>
    <t>Descontando stock al vender (FEFO)</t>
  </si>
  <si>
    <t>Viendo historial ventas del día</t>
  </si>
  <si>
    <t>Consultando y buscando ventas</t>
  </si>
  <si>
    <t>Cerrando caja diaria</t>
  </si>
  <si>
    <t>Registrando cajero responsable</t>
  </si>
  <si>
    <t>Viendo total ventas en tiempo real</t>
  </si>
  <si>
    <t>Registrando venta por categoría</t>
  </si>
  <si>
    <t>Generando reporte diario de ventas</t>
  </si>
  <si>
    <t>Generando reporte mensual de ventas</t>
  </si>
  <si>
    <t>Generando reporte productos más vendidos</t>
  </si>
  <si>
    <t>Generando reporte mermas y pérdidas</t>
  </si>
  <si>
    <t>Generando reporte lotes a vencer</t>
  </si>
  <si>
    <t>Generando reporte rentabilidad por categoría</t>
  </si>
  <si>
    <t>Generando reporte asistencia personal</t>
  </si>
  <si>
    <t>Generando reporte movimientos inventario</t>
  </si>
  <si>
    <t>Exportando reportes PDF/Excel</t>
  </si>
  <si>
    <t>Mostrando dashboard indicadores clave</t>
  </si>
  <si>
    <t>Autenticando usuario con credenciales</t>
  </si>
  <si>
    <t>Cambiando contraseña primer inicio</t>
  </si>
  <si>
    <t>Controlando acceso por roles</t>
  </si>
  <si>
    <t>Registrando log acciones usuario</t>
  </si>
  <si>
    <t>Restableciendo contraseña de usuario</t>
  </si>
  <si>
    <t>Leyendo códigos EAN con lector</t>
  </si>
  <si>
    <t>Transmitiendo código EAN al sistema</t>
  </si>
  <si>
    <t>Detectando error de lectura EAN</t>
  </si>
  <si>
    <t>Consultando log de auditoría</t>
  </si>
  <si>
    <t>RESUMEN DE COBERTURA POR MÓDULO</t>
  </si>
  <si>
    <t>Total RF</t>
  </si>
  <si>
    <t>RF cubiertos</t>
  </si>
  <si>
    <t>CU relacionados</t>
  </si>
  <si>
    <t>% Cobertura</t>
  </si>
  <si>
    <t>Respaldo en la Nube</t>
  </si>
  <si>
    <t>TOTALES</t>
  </si>
  <si>
    <t>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</si>
</sst>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b/>
      <sz val="8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0.0"/>
      <color rgb="FF375623"/>
      <name val="Arial"/>
    </font>
    <font>
      <sz val="11.0"/>
      <color theme="1"/>
      <name val="Calibri"/>
    </font>
    <font>
      <sz val="9.0"/>
      <color theme="1"/>
      <name val="Arial"/>
    </font>
    <font>
      <b/>
      <sz val="11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5F9FF"/>
        <bgColor rgb="FFF5F9FF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textRotation="90" vertical="bottom"/>
    </xf>
    <xf borderId="0" fillId="2" fontId="4" numFmtId="0" xfId="0" applyAlignment="1" applyFont="1">
      <alignment horizontal="center" readingOrder="0" textRotation="90" vertical="bottom"/>
    </xf>
    <xf borderId="5" fillId="3" fontId="3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0" fillId="4" fontId="8" numFmtId="0" xfId="0" applyAlignment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0" fillId="6" fontId="8" numFmtId="0" xfId="0" applyAlignment="1" applyFont="1">
      <alignment horizontal="center" shrinkToFit="0" vertical="center" wrapText="1"/>
    </xf>
    <xf borderId="4" fillId="6" fontId="9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left" readingOrder="0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0" fillId="7" fontId="5" numFmtId="0" xfId="0" applyAlignment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6" fontId="6" numFmtId="9" xfId="0" applyAlignment="1" applyBorder="1" applyFont="1" applyNumberFormat="1">
      <alignment horizontal="center" shrinkToFit="0" vertical="center" wrapText="1"/>
    </xf>
    <xf borderId="4" fillId="4" fontId="6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7.0"/>
    <col customWidth="1" min="2" max="2" width="52.0"/>
    <col customWidth="1" min="3" max="3" width="22.0"/>
    <col customWidth="1" min="4" max="69" width="5.0"/>
    <col customWidth="1" min="70" max="70" width="5.43"/>
    <col customWidth="1" min="71" max="71" width="5.0"/>
    <col customWidth="1" min="72" max="72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ht="79.5" customHeight="1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  <c r="BB2" s="5" t="s">
        <v>54</v>
      </c>
      <c r="BC2" s="5" t="s">
        <v>55</v>
      </c>
      <c r="BD2" s="5" t="s">
        <v>56</v>
      </c>
      <c r="BE2" s="5" t="s">
        <v>57</v>
      </c>
      <c r="BF2" s="5" t="s">
        <v>58</v>
      </c>
      <c r="BG2" s="5" t="s">
        <v>59</v>
      </c>
      <c r="BH2" s="5" t="s">
        <v>60</v>
      </c>
      <c r="BI2" s="5" t="s">
        <v>61</v>
      </c>
      <c r="BJ2" s="5" t="s">
        <v>62</v>
      </c>
      <c r="BK2" s="5" t="s">
        <v>63</v>
      </c>
      <c r="BL2" s="5" t="s">
        <v>64</v>
      </c>
      <c r="BM2" s="5" t="s">
        <v>65</v>
      </c>
      <c r="BN2" s="5" t="s">
        <v>66</v>
      </c>
      <c r="BO2" s="5" t="s">
        <v>67</v>
      </c>
      <c r="BP2" s="5" t="s">
        <v>68</v>
      </c>
      <c r="BQ2" s="5" t="s">
        <v>69</v>
      </c>
      <c r="BR2" s="5" t="s">
        <v>70</v>
      </c>
      <c r="BS2" s="6" t="s">
        <v>71</v>
      </c>
    </row>
    <row r="3" ht="15.75" customHeight="1">
      <c r="A3" s="7" t="s">
        <v>72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9"/>
    </row>
    <row r="4" ht="30.0" customHeight="1">
      <c r="A4" s="10" t="s">
        <v>73</v>
      </c>
      <c r="B4" s="11" t="s">
        <v>74</v>
      </c>
      <c r="C4" s="12" t="s">
        <v>75</v>
      </c>
      <c r="D4" s="13" t="s">
        <v>76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5"/>
    </row>
    <row r="5" ht="30.0" customHeight="1">
      <c r="A5" s="16" t="s">
        <v>77</v>
      </c>
      <c r="B5" s="17" t="s">
        <v>78</v>
      </c>
      <c r="C5" s="18" t="s">
        <v>75</v>
      </c>
      <c r="D5" s="19"/>
      <c r="E5" s="13" t="s">
        <v>76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20"/>
    </row>
    <row r="6" ht="30.0" customHeight="1">
      <c r="A6" s="10" t="s">
        <v>79</v>
      </c>
      <c r="B6" s="11" t="s">
        <v>80</v>
      </c>
      <c r="C6" s="12" t="s">
        <v>75</v>
      </c>
      <c r="D6" s="14"/>
      <c r="E6" s="14"/>
      <c r="F6" s="13" t="s">
        <v>76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5"/>
    </row>
    <row r="7" ht="30.0" customHeight="1">
      <c r="A7" s="16" t="s">
        <v>81</v>
      </c>
      <c r="B7" s="17" t="s">
        <v>82</v>
      </c>
      <c r="C7" s="18" t="s">
        <v>75</v>
      </c>
      <c r="D7" s="19"/>
      <c r="E7" s="19"/>
      <c r="F7" s="19"/>
      <c r="G7" s="13" t="s">
        <v>76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20"/>
    </row>
    <row r="8" ht="30.0" customHeight="1">
      <c r="A8" s="10" t="s">
        <v>83</v>
      </c>
      <c r="B8" s="11" t="s">
        <v>84</v>
      </c>
      <c r="C8" s="12" t="s">
        <v>75</v>
      </c>
      <c r="D8" s="14"/>
      <c r="E8" s="14"/>
      <c r="F8" s="14"/>
      <c r="G8" s="14"/>
      <c r="H8" s="13" t="s">
        <v>76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5"/>
    </row>
    <row r="9" ht="30.0" customHeight="1">
      <c r="A9" s="16" t="s">
        <v>85</v>
      </c>
      <c r="B9" s="17" t="s">
        <v>86</v>
      </c>
      <c r="C9" s="18" t="s">
        <v>75</v>
      </c>
      <c r="D9" s="19"/>
      <c r="E9" s="19"/>
      <c r="F9" s="19"/>
      <c r="G9" s="19"/>
      <c r="H9" s="19"/>
      <c r="I9" s="13" t="s">
        <v>76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20"/>
    </row>
    <row r="10" ht="30.0" customHeight="1">
      <c r="A10" s="10" t="s">
        <v>87</v>
      </c>
      <c r="B10" s="11" t="s">
        <v>88</v>
      </c>
      <c r="C10" s="12" t="s">
        <v>75</v>
      </c>
      <c r="D10" s="14"/>
      <c r="E10" s="14"/>
      <c r="F10" s="14"/>
      <c r="G10" s="14"/>
      <c r="H10" s="14"/>
      <c r="I10" s="14"/>
      <c r="J10" s="13" t="s">
        <v>76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5"/>
    </row>
    <row r="11" ht="15.75" customHeight="1">
      <c r="A11" s="7" t="s">
        <v>89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9"/>
    </row>
    <row r="12" ht="30.0" customHeight="1">
      <c r="A12" s="10" t="s">
        <v>90</v>
      </c>
      <c r="B12" s="11" t="s">
        <v>91</v>
      </c>
      <c r="C12" s="12" t="s">
        <v>92</v>
      </c>
      <c r="D12" s="14"/>
      <c r="E12" s="14"/>
      <c r="F12" s="14"/>
      <c r="G12" s="14"/>
      <c r="H12" s="14"/>
      <c r="I12" s="14"/>
      <c r="J12" s="14"/>
      <c r="K12" s="13" t="s">
        <v>76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3" t="s">
        <v>76</v>
      </c>
      <c r="BK12" s="14"/>
      <c r="BL12" s="14"/>
      <c r="BM12" s="14"/>
      <c r="BN12" s="14"/>
      <c r="BO12" s="14"/>
      <c r="BP12" s="14"/>
      <c r="BQ12" s="14"/>
      <c r="BR12" s="14"/>
      <c r="BS12" s="15"/>
    </row>
    <row r="13" ht="30.0" customHeight="1">
      <c r="A13" s="16" t="s">
        <v>93</v>
      </c>
      <c r="B13" s="17" t="s">
        <v>94</v>
      </c>
      <c r="C13" s="18" t="s">
        <v>92</v>
      </c>
      <c r="D13" s="19"/>
      <c r="E13" s="19"/>
      <c r="F13" s="19"/>
      <c r="G13" s="19"/>
      <c r="H13" s="19"/>
      <c r="I13" s="19"/>
      <c r="J13" s="19"/>
      <c r="K13" s="19"/>
      <c r="L13" s="13" t="s">
        <v>76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3" t="s">
        <v>76</v>
      </c>
      <c r="BK13" s="19"/>
      <c r="BL13" s="19"/>
      <c r="BM13" s="19"/>
      <c r="BN13" s="19"/>
      <c r="BO13" s="19"/>
      <c r="BP13" s="19"/>
      <c r="BQ13" s="19"/>
      <c r="BR13" s="19"/>
      <c r="BS13" s="20"/>
    </row>
    <row r="14" ht="30.0" customHeight="1">
      <c r="A14" s="10" t="s">
        <v>95</v>
      </c>
      <c r="B14" s="11" t="s">
        <v>96</v>
      </c>
      <c r="C14" s="12" t="s">
        <v>92</v>
      </c>
      <c r="D14" s="14"/>
      <c r="E14" s="14"/>
      <c r="F14" s="14"/>
      <c r="G14" s="14"/>
      <c r="H14" s="14"/>
      <c r="I14" s="14"/>
      <c r="J14" s="14"/>
      <c r="K14" s="14"/>
      <c r="L14" s="14"/>
      <c r="M14" s="13" t="s">
        <v>76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5"/>
    </row>
    <row r="15" ht="30.0" customHeight="1">
      <c r="A15" s="16" t="s">
        <v>97</v>
      </c>
      <c r="B15" s="17" t="s">
        <v>98</v>
      </c>
      <c r="C15" s="18" t="s">
        <v>92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3" t="s">
        <v>76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20"/>
    </row>
    <row r="16" ht="30.0" customHeight="1">
      <c r="A16" s="10" t="s">
        <v>99</v>
      </c>
      <c r="B16" s="11" t="s">
        <v>100</v>
      </c>
      <c r="C16" s="12" t="s">
        <v>92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3" t="s">
        <v>76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5"/>
    </row>
    <row r="17" ht="15.75" customHeight="1">
      <c r="A17" s="7" t="s">
        <v>101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9"/>
    </row>
    <row r="18" ht="30.0" customHeight="1">
      <c r="A18" s="10" t="s">
        <v>102</v>
      </c>
      <c r="B18" s="11" t="s">
        <v>103</v>
      </c>
      <c r="C18" s="12" t="s">
        <v>104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 t="s">
        <v>76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5"/>
    </row>
    <row r="19" ht="30.0" customHeight="1">
      <c r="A19" s="16" t="s">
        <v>105</v>
      </c>
      <c r="B19" s="17" t="s">
        <v>106</v>
      </c>
      <c r="C19" s="18" t="s">
        <v>104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3" t="s">
        <v>76</v>
      </c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20"/>
    </row>
    <row r="20" ht="30.0" customHeight="1">
      <c r="A20" s="10" t="s">
        <v>107</v>
      </c>
      <c r="B20" s="11" t="s">
        <v>108</v>
      </c>
      <c r="C20" s="12" t="s">
        <v>104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3" t="s">
        <v>76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5"/>
    </row>
    <row r="21" ht="30.0" customHeight="1">
      <c r="A21" s="16" t="s">
        <v>109</v>
      </c>
      <c r="B21" s="17" t="s">
        <v>110</v>
      </c>
      <c r="C21" s="18" t="s">
        <v>104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3" t="s">
        <v>76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21"/>
      <c r="BJ21" s="19"/>
      <c r="BK21" s="19"/>
      <c r="BL21" s="19"/>
      <c r="BM21" s="19"/>
      <c r="BN21" s="19"/>
      <c r="BO21" s="19"/>
      <c r="BP21" s="19"/>
      <c r="BQ21" s="19"/>
      <c r="BR21" s="19"/>
      <c r="BS21" s="20"/>
    </row>
    <row r="22" ht="30.0" customHeight="1">
      <c r="A22" s="10" t="s">
        <v>111</v>
      </c>
      <c r="B22" s="11" t="s">
        <v>112</v>
      </c>
      <c r="C22" s="12" t="s">
        <v>104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3" t="s">
        <v>76</v>
      </c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5"/>
    </row>
    <row r="23" ht="30.0" customHeight="1">
      <c r="A23" s="16" t="s">
        <v>113</v>
      </c>
      <c r="B23" s="17" t="s">
        <v>114</v>
      </c>
      <c r="C23" s="18" t="s">
        <v>104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3" t="s">
        <v>76</v>
      </c>
      <c r="V23" s="13" t="s">
        <v>76</v>
      </c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20"/>
    </row>
    <row r="24" ht="15.75" customHeight="1">
      <c r="A24" s="7" t="s">
        <v>115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9"/>
    </row>
    <row r="25" ht="30.0" customHeight="1">
      <c r="A25" s="16" t="s">
        <v>116</v>
      </c>
      <c r="B25" s="17" t="s">
        <v>117</v>
      </c>
      <c r="C25" s="18" t="s">
        <v>118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3" t="s">
        <v>76</v>
      </c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20"/>
    </row>
    <row r="26" ht="30.0" customHeight="1">
      <c r="A26" s="10" t="s">
        <v>119</v>
      </c>
      <c r="B26" s="11" t="s">
        <v>120</v>
      </c>
      <c r="C26" s="12" t="s">
        <v>118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3" t="s">
        <v>76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3" t="s">
        <v>76</v>
      </c>
      <c r="BJ26" s="14"/>
      <c r="BK26" s="14"/>
      <c r="BL26" s="14"/>
      <c r="BM26" s="14"/>
      <c r="BN26" s="14"/>
      <c r="BO26" s="14"/>
      <c r="BP26" s="14"/>
      <c r="BQ26" s="14"/>
      <c r="BR26" s="14"/>
      <c r="BS26" s="15"/>
    </row>
    <row r="27" ht="15.75" customHeight="1">
      <c r="A27" s="7" t="s">
        <v>121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9"/>
    </row>
    <row r="28" ht="30.0" customHeight="1">
      <c r="A28" s="10" t="s">
        <v>122</v>
      </c>
      <c r="B28" s="11" t="s">
        <v>123</v>
      </c>
      <c r="C28" s="12" t="s">
        <v>124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3" t="s">
        <v>76</v>
      </c>
      <c r="Z28" s="13" t="s">
        <v>76</v>
      </c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5"/>
    </row>
    <row r="29" ht="30.0" customHeight="1">
      <c r="A29" s="16" t="s">
        <v>125</v>
      </c>
      <c r="B29" s="17" t="s">
        <v>126</v>
      </c>
      <c r="C29" s="18" t="s">
        <v>124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3" t="s">
        <v>76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20"/>
    </row>
    <row r="30" ht="30.0" customHeight="1">
      <c r="A30" s="10" t="s">
        <v>127</v>
      </c>
      <c r="B30" s="11" t="s">
        <v>128</v>
      </c>
      <c r="C30" s="12" t="s">
        <v>124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3" t="s">
        <v>76</v>
      </c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5"/>
    </row>
    <row r="31" ht="30.0" customHeight="1">
      <c r="A31" s="16" t="s">
        <v>129</v>
      </c>
      <c r="B31" s="17" t="s">
        <v>130</v>
      </c>
      <c r="C31" s="18" t="s">
        <v>124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3" t="s">
        <v>76</v>
      </c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20"/>
    </row>
    <row r="32" ht="15.75" customHeight="1">
      <c r="A32" s="7" t="s">
        <v>131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9"/>
    </row>
    <row r="33" ht="30.0" customHeight="1">
      <c r="A33" s="16" t="s">
        <v>132</v>
      </c>
      <c r="B33" s="17" t="s">
        <v>133</v>
      </c>
      <c r="C33" s="18" t="s">
        <v>134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3" t="s">
        <v>76</v>
      </c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20"/>
    </row>
    <row r="34" ht="30.0" customHeight="1">
      <c r="A34" s="10" t="s">
        <v>135</v>
      </c>
      <c r="B34" s="11" t="s">
        <v>136</v>
      </c>
      <c r="C34" s="12" t="s">
        <v>134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3" t="s">
        <v>76</v>
      </c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5"/>
    </row>
    <row r="35" ht="30.0" customHeight="1">
      <c r="A35" s="16" t="s">
        <v>137</v>
      </c>
      <c r="B35" s="17" t="s">
        <v>138</v>
      </c>
      <c r="C35" s="18" t="s">
        <v>134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3" t="s">
        <v>76</v>
      </c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20"/>
    </row>
    <row r="36" ht="30.0" customHeight="1">
      <c r="A36" s="10" t="s">
        <v>139</v>
      </c>
      <c r="B36" s="11" t="s">
        <v>140</v>
      </c>
      <c r="C36" s="12" t="s">
        <v>134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3" t="s">
        <v>76</v>
      </c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5"/>
    </row>
    <row r="37" ht="15.75" customHeight="1">
      <c r="A37" s="7" t="s">
        <v>141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9"/>
    </row>
    <row r="38" ht="30.0" customHeight="1">
      <c r="A38" s="10" t="s">
        <v>142</v>
      </c>
      <c r="B38" s="11" t="s">
        <v>143</v>
      </c>
      <c r="C38" s="12" t="s">
        <v>144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3" t="s">
        <v>76</v>
      </c>
      <c r="AI38" s="13" t="s">
        <v>76</v>
      </c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5"/>
    </row>
    <row r="39" ht="30.0" customHeight="1">
      <c r="A39" s="16" t="s">
        <v>145</v>
      </c>
      <c r="B39" s="17" t="s">
        <v>146</v>
      </c>
      <c r="C39" s="18" t="s">
        <v>144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3" t="s">
        <v>76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20"/>
    </row>
    <row r="40" ht="30.0" customHeight="1">
      <c r="A40" s="10" t="s">
        <v>147</v>
      </c>
      <c r="B40" s="11" t="s">
        <v>148</v>
      </c>
      <c r="C40" s="12" t="s">
        <v>144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22" t="s">
        <v>76</v>
      </c>
      <c r="AK40" s="13" t="s">
        <v>76</v>
      </c>
      <c r="AL40" s="14"/>
      <c r="AM40" s="23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5"/>
    </row>
    <row r="41" ht="30.0" customHeight="1">
      <c r="A41" s="16" t="s">
        <v>149</v>
      </c>
      <c r="B41" s="17" t="s">
        <v>150</v>
      </c>
      <c r="C41" s="18" t="s">
        <v>144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3" t="s">
        <v>76</v>
      </c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20"/>
    </row>
    <row r="42" ht="30.0" customHeight="1">
      <c r="A42" s="10" t="s">
        <v>151</v>
      </c>
      <c r="B42" s="11" t="s">
        <v>152</v>
      </c>
      <c r="C42" s="12" t="s">
        <v>144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3" t="s">
        <v>76</v>
      </c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5"/>
    </row>
    <row r="43" ht="30.0" customHeight="1">
      <c r="A43" s="16" t="s">
        <v>153</v>
      </c>
      <c r="B43" s="17" t="s">
        <v>154</v>
      </c>
      <c r="C43" s="18" t="s">
        <v>144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3" t="s">
        <v>76</v>
      </c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20"/>
    </row>
    <row r="44" ht="15.75" customHeight="1">
      <c r="A44" s="7" t="s">
        <v>155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9"/>
    </row>
    <row r="45" ht="30.0" customHeight="1">
      <c r="A45" s="16" t="s">
        <v>156</v>
      </c>
      <c r="B45" s="17" t="s">
        <v>157</v>
      </c>
      <c r="C45" s="18" t="s">
        <v>158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3" t="s">
        <v>76</v>
      </c>
      <c r="AP45" s="13" t="s">
        <v>76</v>
      </c>
      <c r="AQ45" s="13" t="s">
        <v>76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20"/>
    </row>
    <row r="46" ht="30.0" customHeight="1">
      <c r="A46" s="10" t="s">
        <v>159</v>
      </c>
      <c r="B46" s="11" t="s">
        <v>160</v>
      </c>
      <c r="C46" s="12" t="s">
        <v>158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3" t="s">
        <v>76</v>
      </c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5"/>
    </row>
    <row r="47" ht="30.0" customHeight="1">
      <c r="A47" s="16" t="s">
        <v>161</v>
      </c>
      <c r="B47" s="17" t="s">
        <v>162</v>
      </c>
      <c r="C47" s="18" t="s">
        <v>158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3" t="s">
        <v>76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20"/>
    </row>
    <row r="48" ht="30.0" customHeight="1">
      <c r="A48" s="10" t="s">
        <v>163</v>
      </c>
      <c r="B48" s="11" t="s">
        <v>164</v>
      </c>
      <c r="C48" s="12" t="s">
        <v>158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3" t="s">
        <v>76</v>
      </c>
      <c r="AP48" s="13" t="s">
        <v>76</v>
      </c>
      <c r="AQ48" s="13" t="s">
        <v>76</v>
      </c>
      <c r="AR48" s="14"/>
      <c r="AS48" s="14"/>
      <c r="AT48" s="13" t="s">
        <v>76</v>
      </c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5"/>
    </row>
    <row r="49" ht="30.0" customHeight="1">
      <c r="A49" s="16" t="s">
        <v>165</v>
      </c>
      <c r="B49" s="17" t="s">
        <v>166</v>
      </c>
      <c r="C49" s="18" t="s">
        <v>158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3" t="s">
        <v>76</v>
      </c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20"/>
    </row>
    <row r="50" ht="30.0" customHeight="1">
      <c r="A50" s="10" t="s">
        <v>167</v>
      </c>
      <c r="B50" s="11" t="s">
        <v>168</v>
      </c>
      <c r="C50" s="12" t="s">
        <v>158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3" t="s">
        <v>76</v>
      </c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5"/>
    </row>
    <row r="51" ht="30.0" customHeight="1">
      <c r="A51" s="16" t="s">
        <v>169</v>
      </c>
      <c r="B51" s="17" t="s">
        <v>170</v>
      </c>
      <c r="C51" s="18" t="s">
        <v>158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3" t="s">
        <v>76</v>
      </c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20"/>
    </row>
    <row r="52" ht="30.0" customHeight="1">
      <c r="A52" s="10" t="s">
        <v>171</v>
      </c>
      <c r="B52" s="11" t="s">
        <v>172</v>
      </c>
      <c r="C52" s="12" t="s">
        <v>158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3" t="s">
        <v>76</v>
      </c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5"/>
    </row>
    <row r="53" ht="30.0" customHeight="1">
      <c r="A53" s="16" t="s">
        <v>173</v>
      </c>
      <c r="B53" s="17" t="s">
        <v>174</v>
      </c>
      <c r="C53" s="18" t="s">
        <v>158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3" t="s">
        <v>76</v>
      </c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3" t="s">
        <v>76</v>
      </c>
      <c r="BK53" s="19"/>
      <c r="BL53" s="19"/>
      <c r="BM53" s="19"/>
      <c r="BN53" s="19"/>
      <c r="BO53" s="19"/>
      <c r="BP53" s="19"/>
      <c r="BQ53" s="19"/>
      <c r="BR53" s="19"/>
      <c r="BS53" s="20"/>
    </row>
    <row r="54" ht="30.0" customHeight="1">
      <c r="A54" s="10" t="s">
        <v>175</v>
      </c>
      <c r="B54" s="11" t="s">
        <v>176</v>
      </c>
      <c r="C54" s="12" t="s">
        <v>158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3" t="s">
        <v>76</v>
      </c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5"/>
    </row>
    <row r="55" ht="15.75" customHeight="1">
      <c r="A55" s="7" t="s">
        <v>177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9"/>
    </row>
    <row r="56" ht="30.0" customHeight="1">
      <c r="A56" s="10" t="s">
        <v>178</v>
      </c>
      <c r="B56" s="11" t="s">
        <v>179</v>
      </c>
      <c r="C56" s="12" t="s">
        <v>180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3" t="s">
        <v>76</v>
      </c>
      <c r="BB56" s="14"/>
      <c r="BC56" s="14"/>
      <c r="BD56" s="14"/>
      <c r="BE56" s="14"/>
      <c r="BF56" s="14"/>
      <c r="BG56" s="14"/>
      <c r="BH56" s="14"/>
      <c r="BI56" s="13" t="s">
        <v>76</v>
      </c>
      <c r="BJ56" s="14"/>
      <c r="BK56" s="14"/>
      <c r="BL56" s="14"/>
      <c r="BM56" s="14"/>
      <c r="BN56" s="14"/>
      <c r="BO56" s="14"/>
      <c r="BP56" s="14"/>
      <c r="BQ56" s="14"/>
      <c r="BR56" s="14"/>
      <c r="BS56" s="15"/>
    </row>
    <row r="57" ht="30.0" customHeight="1">
      <c r="A57" s="16" t="s">
        <v>181</v>
      </c>
      <c r="B57" s="17" t="s">
        <v>182</v>
      </c>
      <c r="C57" s="18" t="s">
        <v>180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3" t="s">
        <v>76</v>
      </c>
      <c r="BC57" s="19"/>
      <c r="BD57" s="19"/>
      <c r="BE57" s="19"/>
      <c r="BF57" s="19"/>
      <c r="BG57" s="19"/>
      <c r="BH57" s="19"/>
      <c r="BI57" s="13" t="s">
        <v>76</v>
      </c>
      <c r="BJ57" s="19"/>
      <c r="BK57" s="19"/>
      <c r="BL57" s="19"/>
      <c r="BM57" s="19"/>
      <c r="BN57" s="19"/>
      <c r="BO57" s="19"/>
      <c r="BP57" s="19"/>
      <c r="BQ57" s="19"/>
      <c r="BR57" s="19"/>
      <c r="BS57" s="20"/>
    </row>
    <row r="58" ht="30.0" customHeight="1">
      <c r="A58" s="10" t="s">
        <v>183</v>
      </c>
      <c r="B58" s="11" t="s">
        <v>184</v>
      </c>
      <c r="C58" s="12" t="s">
        <v>180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3" t="s">
        <v>76</v>
      </c>
      <c r="BD58" s="14"/>
      <c r="BE58" s="14"/>
      <c r="BF58" s="14"/>
      <c r="BG58" s="14"/>
      <c r="BH58" s="14"/>
      <c r="BI58" s="13" t="s">
        <v>76</v>
      </c>
      <c r="BJ58" s="14"/>
      <c r="BK58" s="14"/>
      <c r="BL58" s="14"/>
      <c r="BM58" s="14"/>
      <c r="BN58" s="14"/>
      <c r="BO58" s="14"/>
      <c r="BP58" s="14"/>
      <c r="BQ58" s="14"/>
      <c r="BR58" s="14"/>
      <c r="BS58" s="15"/>
    </row>
    <row r="59" ht="30.0" customHeight="1">
      <c r="A59" s="16" t="s">
        <v>185</v>
      </c>
      <c r="B59" s="17" t="s">
        <v>186</v>
      </c>
      <c r="C59" s="18" t="s">
        <v>180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3" t="s">
        <v>76</v>
      </c>
      <c r="BE59" s="19"/>
      <c r="BF59" s="19"/>
      <c r="BG59" s="19"/>
      <c r="BH59" s="19"/>
      <c r="BI59" s="13" t="s">
        <v>76</v>
      </c>
      <c r="BJ59" s="19"/>
      <c r="BK59" s="19"/>
      <c r="BL59" s="19"/>
      <c r="BM59" s="19"/>
      <c r="BN59" s="19"/>
      <c r="BO59" s="19"/>
      <c r="BP59" s="19"/>
      <c r="BQ59" s="19"/>
      <c r="BR59" s="19"/>
      <c r="BS59" s="20"/>
    </row>
    <row r="60" ht="30.0" customHeight="1">
      <c r="A60" s="10" t="s">
        <v>187</v>
      </c>
      <c r="B60" s="11" t="s">
        <v>188</v>
      </c>
      <c r="C60" s="12" t="s">
        <v>180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3" t="s">
        <v>76</v>
      </c>
      <c r="BF60" s="14"/>
      <c r="BG60" s="14"/>
      <c r="BH60" s="14"/>
      <c r="BI60" s="13" t="s">
        <v>76</v>
      </c>
      <c r="BJ60" s="14"/>
      <c r="BK60" s="14"/>
      <c r="BL60" s="14"/>
      <c r="BM60" s="14"/>
      <c r="BN60" s="14"/>
      <c r="BO60" s="14"/>
      <c r="BP60" s="14"/>
      <c r="BQ60" s="14"/>
      <c r="BR60" s="14"/>
      <c r="BS60" s="15"/>
    </row>
    <row r="61" ht="30.0" customHeight="1">
      <c r="A61" s="16" t="s">
        <v>189</v>
      </c>
      <c r="B61" s="17" t="s">
        <v>190</v>
      </c>
      <c r="C61" s="18" t="s">
        <v>180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3" t="s">
        <v>76</v>
      </c>
      <c r="BG61" s="19"/>
      <c r="BH61" s="19"/>
      <c r="BI61" s="13" t="s">
        <v>76</v>
      </c>
      <c r="BJ61" s="19"/>
      <c r="BK61" s="19"/>
      <c r="BL61" s="19"/>
      <c r="BM61" s="19"/>
      <c r="BN61" s="19"/>
      <c r="BO61" s="19"/>
      <c r="BP61" s="19"/>
      <c r="BQ61" s="19"/>
      <c r="BR61" s="19"/>
      <c r="BS61" s="20"/>
    </row>
    <row r="62" ht="30.0" customHeight="1">
      <c r="A62" s="10" t="s">
        <v>191</v>
      </c>
      <c r="B62" s="11" t="s">
        <v>192</v>
      </c>
      <c r="C62" s="12" t="s">
        <v>180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3" t="s">
        <v>76</v>
      </c>
      <c r="BH62" s="14"/>
      <c r="BI62" s="13" t="s">
        <v>76</v>
      </c>
      <c r="BJ62" s="14"/>
      <c r="BK62" s="14"/>
      <c r="BL62" s="14"/>
      <c r="BM62" s="14"/>
      <c r="BN62" s="14"/>
      <c r="BO62" s="14"/>
      <c r="BP62" s="14"/>
      <c r="BQ62" s="14"/>
      <c r="BR62" s="14"/>
      <c r="BS62" s="15"/>
    </row>
    <row r="63" ht="30.0" customHeight="1">
      <c r="A63" s="16" t="s">
        <v>193</v>
      </c>
      <c r="B63" s="17" t="s">
        <v>194</v>
      </c>
      <c r="C63" s="18" t="s">
        <v>180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3" t="s">
        <v>76</v>
      </c>
      <c r="BI63" s="13" t="s">
        <v>76</v>
      </c>
      <c r="BJ63" s="19"/>
      <c r="BK63" s="19"/>
      <c r="BL63" s="19"/>
      <c r="BM63" s="19"/>
      <c r="BN63" s="19"/>
      <c r="BO63" s="19"/>
      <c r="BP63" s="19"/>
      <c r="BQ63" s="19"/>
      <c r="BR63" s="19"/>
      <c r="BS63" s="20"/>
    </row>
    <row r="64" ht="30.0" customHeight="1">
      <c r="A64" s="10" t="s">
        <v>195</v>
      </c>
      <c r="B64" s="11" t="s">
        <v>196</v>
      </c>
      <c r="C64" s="12" t="s">
        <v>180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3" t="s">
        <v>76</v>
      </c>
      <c r="BJ64" s="14"/>
      <c r="BK64" s="14"/>
      <c r="BL64" s="14"/>
      <c r="BM64" s="14"/>
      <c r="BN64" s="14"/>
      <c r="BO64" s="14"/>
      <c r="BP64" s="14"/>
      <c r="BQ64" s="14"/>
      <c r="BR64" s="14"/>
      <c r="BS64" s="15"/>
    </row>
    <row r="65" ht="15.75" customHeight="1">
      <c r="A65" s="7" t="s">
        <v>197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9"/>
    </row>
    <row r="66" ht="30.0" customHeight="1">
      <c r="A66" s="10" t="s">
        <v>198</v>
      </c>
      <c r="B66" s="11" t="s">
        <v>199</v>
      </c>
      <c r="C66" s="12" t="s">
        <v>200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3" t="s">
        <v>76</v>
      </c>
      <c r="BK66" s="14"/>
      <c r="BL66" s="14"/>
      <c r="BM66" s="14"/>
      <c r="BN66" s="14"/>
      <c r="BO66" s="14"/>
      <c r="BP66" s="14"/>
      <c r="BQ66" s="14"/>
      <c r="BR66" s="14"/>
      <c r="BS66" s="15"/>
    </row>
    <row r="67" ht="30.0" customHeight="1">
      <c r="A67" s="16" t="s">
        <v>201</v>
      </c>
      <c r="B67" s="17" t="s">
        <v>202</v>
      </c>
      <c r="C67" s="18" t="s">
        <v>200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3" t="s">
        <v>76</v>
      </c>
      <c r="BL67" s="13" t="s">
        <v>76</v>
      </c>
      <c r="BM67" s="19"/>
      <c r="BN67" s="19"/>
      <c r="BO67" s="19"/>
      <c r="BP67" s="19"/>
      <c r="BQ67" s="19"/>
      <c r="BR67" s="19"/>
      <c r="BS67" s="20"/>
    </row>
    <row r="68" ht="30.0" customHeight="1">
      <c r="A68" s="10" t="s">
        <v>203</v>
      </c>
      <c r="B68" s="11" t="s">
        <v>204</v>
      </c>
      <c r="C68" s="12" t="s">
        <v>200</v>
      </c>
      <c r="D68" s="14"/>
      <c r="E68" s="14"/>
      <c r="F68" s="14"/>
      <c r="G68" s="14"/>
      <c r="H68" s="14"/>
      <c r="I68" s="13" t="s">
        <v>76</v>
      </c>
      <c r="J68" s="13" t="s">
        <v>76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3" t="s">
        <v>76</v>
      </c>
      <c r="BN68" s="14"/>
      <c r="BO68" s="14"/>
      <c r="BP68" s="14"/>
      <c r="BQ68" s="14"/>
      <c r="BR68" s="14"/>
      <c r="BS68" s="15"/>
    </row>
    <row r="69" ht="30.0" customHeight="1">
      <c r="A69" s="16" t="s">
        <v>205</v>
      </c>
      <c r="B69" s="17" t="s">
        <v>206</v>
      </c>
      <c r="C69" s="18" t="s">
        <v>200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3" t="s">
        <v>76</v>
      </c>
      <c r="BO69" s="19"/>
      <c r="BP69" s="19"/>
      <c r="BQ69" s="19"/>
      <c r="BR69" s="19"/>
      <c r="BS69" s="13" t="s">
        <v>76</v>
      </c>
    </row>
    <row r="70" ht="30.0" customHeight="1">
      <c r="A70" s="10" t="s">
        <v>207</v>
      </c>
      <c r="B70" s="11" t="s">
        <v>208</v>
      </c>
      <c r="C70" s="12" t="s">
        <v>200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3" t="s">
        <v>76</v>
      </c>
      <c r="BM70" s="14"/>
      <c r="BN70" s="14"/>
      <c r="BO70" s="13" t="s">
        <v>76</v>
      </c>
      <c r="BP70" s="14"/>
      <c r="BQ70" s="14"/>
      <c r="BR70" s="14"/>
      <c r="BS70" s="15"/>
    </row>
    <row r="71" ht="15.75" customHeight="1">
      <c r="A71" s="7" t="s">
        <v>209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9"/>
    </row>
    <row r="72" ht="30.0" customHeight="1">
      <c r="A72" s="10" t="s">
        <v>210</v>
      </c>
      <c r="B72" s="11" t="s">
        <v>211</v>
      </c>
      <c r="C72" s="12" t="s">
        <v>212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3" t="s">
        <v>76</v>
      </c>
      <c r="BQ72" s="14"/>
      <c r="BR72" s="14"/>
      <c r="BS72" s="14"/>
    </row>
    <row r="73" ht="30.0" customHeight="1">
      <c r="A73" s="16" t="s">
        <v>213</v>
      </c>
      <c r="B73" s="17" t="s">
        <v>214</v>
      </c>
      <c r="C73" s="18" t="s">
        <v>212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3" t="s">
        <v>76</v>
      </c>
      <c r="BR73" s="19"/>
      <c r="BS73" s="19"/>
    </row>
    <row r="74" ht="30.0" customHeight="1">
      <c r="A74" s="10" t="s">
        <v>215</v>
      </c>
      <c r="B74" s="24" t="s">
        <v>216</v>
      </c>
      <c r="C74" s="12" t="s">
        <v>212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3" t="s">
        <v>76</v>
      </c>
      <c r="BS74" s="14"/>
    </row>
    <row r="75" ht="19.5" customHeight="1">
      <c r="A75" s="25" t="s">
        <v>217</v>
      </c>
      <c r="B75" s="8"/>
      <c r="C75" s="9"/>
      <c r="D75" s="26">
        <f t="shared" ref="D75:BR75" si="1">COUNTIF(D4:D74,"✓")</f>
        <v>1</v>
      </c>
      <c r="E75" s="26">
        <f t="shared" si="1"/>
        <v>1</v>
      </c>
      <c r="F75" s="26">
        <f t="shared" si="1"/>
        <v>1</v>
      </c>
      <c r="G75" s="26">
        <f t="shared" si="1"/>
        <v>1</v>
      </c>
      <c r="H75" s="26">
        <f t="shared" si="1"/>
        <v>1</v>
      </c>
      <c r="I75" s="26">
        <f t="shared" si="1"/>
        <v>2</v>
      </c>
      <c r="J75" s="26">
        <f t="shared" si="1"/>
        <v>2</v>
      </c>
      <c r="K75" s="26">
        <f t="shared" si="1"/>
        <v>1</v>
      </c>
      <c r="L75" s="26">
        <f t="shared" si="1"/>
        <v>1</v>
      </c>
      <c r="M75" s="26">
        <f t="shared" si="1"/>
        <v>1</v>
      </c>
      <c r="N75" s="26">
        <f t="shared" si="1"/>
        <v>1</v>
      </c>
      <c r="O75" s="26">
        <f t="shared" si="1"/>
        <v>1</v>
      </c>
      <c r="P75" s="26">
        <f t="shared" si="1"/>
        <v>1</v>
      </c>
      <c r="Q75" s="26">
        <f t="shared" si="1"/>
        <v>1</v>
      </c>
      <c r="R75" s="26">
        <f t="shared" si="1"/>
        <v>1</v>
      </c>
      <c r="S75" s="26">
        <f t="shared" si="1"/>
        <v>1</v>
      </c>
      <c r="T75" s="26">
        <f t="shared" si="1"/>
        <v>1</v>
      </c>
      <c r="U75" s="26">
        <f t="shared" si="1"/>
        <v>1</v>
      </c>
      <c r="V75" s="26">
        <f t="shared" si="1"/>
        <v>1</v>
      </c>
      <c r="W75" s="26">
        <f t="shared" si="1"/>
        <v>1</v>
      </c>
      <c r="X75" s="26">
        <f t="shared" si="1"/>
        <v>1</v>
      </c>
      <c r="Y75" s="26">
        <f t="shared" si="1"/>
        <v>1</v>
      </c>
      <c r="Z75" s="26">
        <f t="shared" si="1"/>
        <v>1</v>
      </c>
      <c r="AA75" s="26">
        <f t="shared" si="1"/>
        <v>1</v>
      </c>
      <c r="AB75" s="26">
        <f t="shared" si="1"/>
        <v>1</v>
      </c>
      <c r="AC75" s="26">
        <f t="shared" si="1"/>
        <v>1</v>
      </c>
      <c r="AD75" s="26">
        <f t="shared" si="1"/>
        <v>1</v>
      </c>
      <c r="AE75" s="26">
        <f t="shared" si="1"/>
        <v>1</v>
      </c>
      <c r="AF75" s="26">
        <f t="shared" si="1"/>
        <v>1</v>
      </c>
      <c r="AG75" s="26">
        <f t="shared" si="1"/>
        <v>1</v>
      </c>
      <c r="AH75" s="26">
        <f t="shared" si="1"/>
        <v>1</v>
      </c>
      <c r="AI75" s="26">
        <f t="shared" si="1"/>
        <v>1</v>
      </c>
      <c r="AJ75" s="26">
        <f t="shared" si="1"/>
        <v>2</v>
      </c>
      <c r="AK75" s="26">
        <f t="shared" si="1"/>
        <v>1</v>
      </c>
      <c r="AL75" s="26">
        <f t="shared" si="1"/>
        <v>1</v>
      </c>
      <c r="AM75" s="26">
        <f t="shared" si="1"/>
        <v>1</v>
      </c>
      <c r="AN75" s="26">
        <f t="shared" si="1"/>
        <v>1</v>
      </c>
      <c r="AO75" s="26">
        <f t="shared" si="1"/>
        <v>2</v>
      </c>
      <c r="AP75" s="26">
        <f t="shared" si="1"/>
        <v>2</v>
      </c>
      <c r="AQ75" s="26">
        <f t="shared" si="1"/>
        <v>2</v>
      </c>
      <c r="AR75" s="26">
        <f t="shared" si="1"/>
        <v>1</v>
      </c>
      <c r="AS75" s="26">
        <f t="shared" si="1"/>
        <v>1</v>
      </c>
      <c r="AT75" s="26">
        <f t="shared" si="1"/>
        <v>1</v>
      </c>
      <c r="AU75" s="26">
        <f t="shared" si="1"/>
        <v>1</v>
      </c>
      <c r="AV75" s="26">
        <f t="shared" si="1"/>
        <v>1</v>
      </c>
      <c r="AW75" s="26">
        <f t="shared" si="1"/>
        <v>1</v>
      </c>
      <c r="AX75" s="26">
        <f t="shared" si="1"/>
        <v>1</v>
      </c>
      <c r="AY75" s="26">
        <f t="shared" si="1"/>
        <v>1</v>
      </c>
      <c r="AZ75" s="26">
        <f t="shared" si="1"/>
        <v>1</v>
      </c>
      <c r="BA75" s="26">
        <f t="shared" si="1"/>
        <v>1</v>
      </c>
      <c r="BB75" s="26">
        <f t="shared" si="1"/>
        <v>1</v>
      </c>
      <c r="BC75" s="26">
        <f t="shared" si="1"/>
        <v>1</v>
      </c>
      <c r="BD75" s="26">
        <f t="shared" si="1"/>
        <v>1</v>
      </c>
      <c r="BE75" s="26">
        <f t="shared" si="1"/>
        <v>1</v>
      </c>
      <c r="BF75" s="26">
        <f t="shared" si="1"/>
        <v>1</v>
      </c>
      <c r="BG75" s="26">
        <f t="shared" si="1"/>
        <v>1</v>
      </c>
      <c r="BH75" s="26">
        <f t="shared" si="1"/>
        <v>1</v>
      </c>
      <c r="BI75" s="26">
        <f t="shared" si="1"/>
        <v>10</v>
      </c>
      <c r="BJ75" s="26">
        <f t="shared" si="1"/>
        <v>4</v>
      </c>
      <c r="BK75" s="26">
        <f t="shared" si="1"/>
        <v>1</v>
      </c>
      <c r="BL75" s="26">
        <f t="shared" si="1"/>
        <v>2</v>
      </c>
      <c r="BM75" s="26">
        <f t="shared" si="1"/>
        <v>1</v>
      </c>
      <c r="BN75" s="26">
        <f t="shared" si="1"/>
        <v>1</v>
      </c>
      <c r="BO75" s="26">
        <f t="shared" si="1"/>
        <v>1</v>
      </c>
      <c r="BP75" s="26">
        <f t="shared" si="1"/>
        <v>1</v>
      </c>
      <c r="BQ75" s="26">
        <f t="shared" si="1"/>
        <v>1</v>
      </c>
      <c r="BR75" s="26">
        <f t="shared" si="1"/>
        <v>1</v>
      </c>
      <c r="BS75" s="27">
        <v>1.0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3">
    <mergeCell ref="A75:C75"/>
    <mergeCell ref="A37:BT37"/>
    <mergeCell ref="A44:BT44"/>
    <mergeCell ref="A55:BT55"/>
    <mergeCell ref="A65:BT65"/>
    <mergeCell ref="A71:BT71"/>
    <mergeCell ref="A1:BT1"/>
    <mergeCell ref="A3:BT3"/>
    <mergeCell ref="A11:BT11"/>
    <mergeCell ref="A17:BT17"/>
    <mergeCell ref="A24:BT24"/>
    <mergeCell ref="A27:BT27"/>
    <mergeCell ref="A32:BT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48.0"/>
    <col customWidth="1" min="3" max="26" width="8.71"/>
  </cols>
  <sheetData>
    <row r="1" ht="24.0" customHeight="1">
      <c r="A1" s="28" t="s">
        <v>218</v>
      </c>
      <c r="B1" s="3"/>
    </row>
    <row r="2">
      <c r="A2" s="29" t="s">
        <v>219</v>
      </c>
      <c r="B2" s="29" t="s">
        <v>220</v>
      </c>
    </row>
    <row r="3">
      <c r="A3" s="16" t="s">
        <v>4</v>
      </c>
      <c r="B3" s="17" t="s">
        <v>221</v>
      </c>
    </row>
    <row r="4">
      <c r="A4" s="10" t="s">
        <v>5</v>
      </c>
      <c r="B4" s="11" t="s">
        <v>222</v>
      </c>
    </row>
    <row r="5">
      <c r="A5" s="16" t="s">
        <v>6</v>
      </c>
      <c r="B5" s="17" t="s">
        <v>223</v>
      </c>
    </row>
    <row r="6">
      <c r="A6" s="10" t="s">
        <v>7</v>
      </c>
      <c r="B6" s="11" t="s">
        <v>224</v>
      </c>
    </row>
    <row r="7">
      <c r="A7" s="16" t="s">
        <v>8</v>
      </c>
      <c r="B7" s="17" t="s">
        <v>225</v>
      </c>
    </row>
    <row r="8">
      <c r="A8" s="10" t="s">
        <v>9</v>
      </c>
      <c r="B8" s="11" t="s">
        <v>226</v>
      </c>
    </row>
    <row r="9">
      <c r="A9" s="16" t="s">
        <v>10</v>
      </c>
      <c r="B9" s="17" t="s">
        <v>227</v>
      </c>
    </row>
    <row r="10">
      <c r="A10" s="10" t="s">
        <v>11</v>
      </c>
      <c r="B10" s="11" t="s">
        <v>228</v>
      </c>
    </row>
    <row r="11">
      <c r="A11" s="16" t="s">
        <v>12</v>
      </c>
      <c r="B11" s="17" t="s">
        <v>229</v>
      </c>
    </row>
    <row r="12">
      <c r="A12" s="10" t="s">
        <v>13</v>
      </c>
      <c r="B12" s="11" t="s">
        <v>230</v>
      </c>
    </row>
    <row r="13">
      <c r="A13" s="16" t="s">
        <v>14</v>
      </c>
      <c r="B13" s="17" t="s">
        <v>231</v>
      </c>
    </row>
    <row r="14">
      <c r="A14" s="10" t="s">
        <v>15</v>
      </c>
      <c r="B14" s="11" t="s">
        <v>232</v>
      </c>
    </row>
    <row r="15">
      <c r="A15" s="16" t="s">
        <v>16</v>
      </c>
      <c r="B15" s="17" t="s">
        <v>233</v>
      </c>
    </row>
    <row r="16">
      <c r="A16" s="10" t="s">
        <v>17</v>
      </c>
      <c r="B16" s="11" t="s">
        <v>234</v>
      </c>
    </row>
    <row r="17">
      <c r="A17" s="16" t="s">
        <v>18</v>
      </c>
      <c r="B17" s="17" t="s">
        <v>235</v>
      </c>
    </row>
    <row r="18">
      <c r="A18" s="10" t="s">
        <v>19</v>
      </c>
      <c r="B18" s="11" t="s">
        <v>236</v>
      </c>
    </row>
    <row r="19">
      <c r="A19" s="16" t="s">
        <v>20</v>
      </c>
      <c r="B19" s="17" t="s">
        <v>237</v>
      </c>
    </row>
    <row r="20">
      <c r="A20" s="10" t="s">
        <v>21</v>
      </c>
      <c r="B20" s="11" t="s">
        <v>238</v>
      </c>
    </row>
    <row r="21" ht="15.75" customHeight="1">
      <c r="A21" s="16" t="s">
        <v>22</v>
      </c>
      <c r="B21" s="17" t="s">
        <v>239</v>
      </c>
    </row>
    <row r="22" ht="15.75" customHeight="1">
      <c r="A22" s="10" t="s">
        <v>23</v>
      </c>
      <c r="B22" s="11" t="s">
        <v>240</v>
      </c>
    </row>
    <row r="23" ht="15.75" customHeight="1">
      <c r="A23" s="16" t="s">
        <v>24</v>
      </c>
      <c r="B23" s="17" t="s">
        <v>241</v>
      </c>
    </row>
    <row r="24" ht="15.75" customHeight="1">
      <c r="A24" s="10" t="s">
        <v>25</v>
      </c>
      <c r="B24" s="11" t="s">
        <v>242</v>
      </c>
    </row>
    <row r="25" ht="15.75" customHeight="1">
      <c r="A25" s="16" t="s">
        <v>26</v>
      </c>
      <c r="B25" s="17" t="s">
        <v>243</v>
      </c>
    </row>
    <row r="26" ht="15.75" customHeight="1">
      <c r="A26" s="10" t="s">
        <v>27</v>
      </c>
      <c r="B26" s="11" t="s">
        <v>244</v>
      </c>
    </row>
    <row r="27" ht="15.75" customHeight="1">
      <c r="A27" s="16" t="s">
        <v>28</v>
      </c>
      <c r="B27" s="17" t="s">
        <v>245</v>
      </c>
    </row>
    <row r="28" ht="15.75" customHeight="1">
      <c r="A28" s="10" t="s">
        <v>29</v>
      </c>
      <c r="B28" s="11" t="s">
        <v>246</v>
      </c>
    </row>
    <row r="29" ht="15.75" customHeight="1">
      <c r="A29" s="16" t="s">
        <v>30</v>
      </c>
      <c r="B29" s="17" t="s">
        <v>247</v>
      </c>
    </row>
    <row r="30" ht="15.75" customHeight="1">
      <c r="A30" s="10" t="s">
        <v>31</v>
      </c>
      <c r="B30" s="11" t="s">
        <v>248</v>
      </c>
    </row>
    <row r="31" ht="15.75" customHeight="1">
      <c r="A31" s="16" t="s">
        <v>32</v>
      </c>
      <c r="B31" s="17" t="s">
        <v>249</v>
      </c>
    </row>
    <row r="32" ht="15.75" customHeight="1">
      <c r="A32" s="10" t="s">
        <v>33</v>
      </c>
      <c r="B32" s="11" t="s">
        <v>250</v>
      </c>
    </row>
    <row r="33" ht="15.75" customHeight="1">
      <c r="A33" s="16" t="s">
        <v>34</v>
      </c>
      <c r="B33" s="17" t="s">
        <v>251</v>
      </c>
    </row>
    <row r="34" ht="15.75" customHeight="1">
      <c r="A34" s="10" t="s">
        <v>35</v>
      </c>
      <c r="B34" s="11" t="s">
        <v>252</v>
      </c>
    </row>
    <row r="35" ht="15.75" customHeight="1">
      <c r="A35" s="16" t="s">
        <v>36</v>
      </c>
      <c r="B35" s="17" t="s">
        <v>253</v>
      </c>
    </row>
    <row r="36" ht="15.75" customHeight="1">
      <c r="A36" s="10" t="s">
        <v>37</v>
      </c>
      <c r="B36" s="11" t="s">
        <v>254</v>
      </c>
    </row>
    <row r="37" ht="15.75" customHeight="1">
      <c r="A37" s="16" t="s">
        <v>38</v>
      </c>
      <c r="B37" s="17" t="s">
        <v>255</v>
      </c>
    </row>
    <row r="38" ht="15.75" customHeight="1">
      <c r="A38" s="10" t="s">
        <v>39</v>
      </c>
      <c r="B38" s="11" t="s">
        <v>256</v>
      </c>
    </row>
    <row r="39" ht="15.75" customHeight="1">
      <c r="A39" s="16" t="s">
        <v>40</v>
      </c>
      <c r="B39" s="17" t="s">
        <v>257</v>
      </c>
    </row>
    <row r="40" ht="15.75" customHeight="1">
      <c r="A40" s="10" t="s">
        <v>41</v>
      </c>
      <c r="B40" s="11" t="s">
        <v>258</v>
      </c>
    </row>
    <row r="41" ht="15.75" customHeight="1">
      <c r="A41" s="16" t="s">
        <v>42</v>
      </c>
      <c r="B41" s="17" t="s">
        <v>259</v>
      </c>
    </row>
    <row r="42" ht="15.75" customHeight="1">
      <c r="A42" s="10" t="s">
        <v>43</v>
      </c>
      <c r="B42" s="11" t="s">
        <v>260</v>
      </c>
    </row>
    <row r="43" ht="15.75" customHeight="1">
      <c r="A43" s="16" t="s">
        <v>44</v>
      </c>
      <c r="B43" s="17" t="s">
        <v>261</v>
      </c>
    </row>
    <row r="44" ht="15.75" customHeight="1">
      <c r="A44" s="10" t="s">
        <v>45</v>
      </c>
      <c r="B44" s="11" t="s">
        <v>262</v>
      </c>
    </row>
    <row r="45" ht="15.75" customHeight="1">
      <c r="A45" s="16" t="s">
        <v>46</v>
      </c>
      <c r="B45" s="17" t="s">
        <v>263</v>
      </c>
    </row>
    <row r="46" ht="15.75" customHeight="1">
      <c r="A46" s="10" t="s">
        <v>47</v>
      </c>
      <c r="B46" s="11" t="s">
        <v>264</v>
      </c>
    </row>
    <row r="47" ht="15.75" customHeight="1">
      <c r="A47" s="16" t="s">
        <v>48</v>
      </c>
      <c r="B47" s="17" t="s">
        <v>265</v>
      </c>
    </row>
    <row r="48" ht="15.75" customHeight="1">
      <c r="A48" s="10" t="s">
        <v>49</v>
      </c>
      <c r="B48" s="11" t="s">
        <v>266</v>
      </c>
    </row>
    <row r="49" ht="15.75" customHeight="1">
      <c r="A49" s="16" t="s">
        <v>50</v>
      </c>
      <c r="B49" s="17" t="s">
        <v>267</v>
      </c>
    </row>
    <row r="50" ht="15.75" customHeight="1">
      <c r="A50" s="10" t="s">
        <v>51</v>
      </c>
      <c r="B50" s="11" t="s">
        <v>268</v>
      </c>
    </row>
    <row r="51" ht="15.75" customHeight="1">
      <c r="A51" s="16" t="s">
        <v>52</v>
      </c>
      <c r="B51" s="17" t="s">
        <v>269</v>
      </c>
    </row>
    <row r="52" ht="15.75" customHeight="1">
      <c r="A52" s="10" t="s">
        <v>53</v>
      </c>
      <c r="B52" s="11" t="s">
        <v>270</v>
      </c>
    </row>
    <row r="53" ht="15.75" customHeight="1">
      <c r="A53" s="16" t="s">
        <v>54</v>
      </c>
      <c r="B53" s="17" t="s">
        <v>271</v>
      </c>
    </row>
    <row r="54" ht="15.75" customHeight="1">
      <c r="A54" s="10" t="s">
        <v>55</v>
      </c>
      <c r="B54" s="11" t="s">
        <v>272</v>
      </c>
    </row>
    <row r="55" ht="15.75" customHeight="1">
      <c r="A55" s="16" t="s">
        <v>56</v>
      </c>
      <c r="B55" s="17" t="s">
        <v>273</v>
      </c>
    </row>
    <row r="56" ht="15.75" customHeight="1">
      <c r="A56" s="10" t="s">
        <v>57</v>
      </c>
      <c r="B56" s="11" t="s">
        <v>274</v>
      </c>
    </row>
    <row r="57" ht="15.75" customHeight="1">
      <c r="A57" s="16" t="s">
        <v>58</v>
      </c>
      <c r="B57" s="17" t="s">
        <v>275</v>
      </c>
    </row>
    <row r="58" ht="15.75" customHeight="1">
      <c r="A58" s="10" t="s">
        <v>59</v>
      </c>
      <c r="B58" s="11" t="s">
        <v>276</v>
      </c>
    </row>
    <row r="59" ht="15.75" customHeight="1">
      <c r="A59" s="16" t="s">
        <v>60</v>
      </c>
      <c r="B59" s="17" t="s">
        <v>277</v>
      </c>
    </row>
    <row r="60" ht="15.75" customHeight="1">
      <c r="A60" s="10" t="s">
        <v>61</v>
      </c>
      <c r="B60" s="11" t="s">
        <v>278</v>
      </c>
    </row>
    <row r="61" ht="15.75" customHeight="1">
      <c r="A61" s="16" t="s">
        <v>62</v>
      </c>
      <c r="B61" s="17" t="s">
        <v>279</v>
      </c>
    </row>
    <row r="62" ht="15.75" customHeight="1">
      <c r="A62" s="10" t="s">
        <v>63</v>
      </c>
      <c r="B62" s="11" t="s">
        <v>280</v>
      </c>
    </row>
    <row r="63" ht="15.75" customHeight="1">
      <c r="A63" s="16" t="s">
        <v>64</v>
      </c>
      <c r="B63" s="17" t="s">
        <v>281</v>
      </c>
    </row>
    <row r="64" ht="15.75" customHeight="1">
      <c r="A64" s="10" t="s">
        <v>65</v>
      </c>
      <c r="B64" s="11" t="s">
        <v>282</v>
      </c>
    </row>
    <row r="65" ht="15.75" customHeight="1">
      <c r="A65" s="16" t="s">
        <v>66</v>
      </c>
      <c r="B65" s="17" t="s">
        <v>283</v>
      </c>
    </row>
    <row r="66" ht="15.75" customHeight="1">
      <c r="A66" s="10" t="s">
        <v>67</v>
      </c>
      <c r="B66" s="11" t="s">
        <v>284</v>
      </c>
    </row>
    <row r="67" ht="15.75" customHeight="1">
      <c r="A67" s="16" t="s">
        <v>68</v>
      </c>
      <c r="B67" s="17" t="s">
        <v>285</v>
      </c>
    </row>
    <row r="68" ht="15.75" customHeight="1">
      <c r="A68" s="10" t="s">
        <v>69</v>
      </c>
      <c r="B68" s="11" t="s">
        <v>286</v>
      </c>
    </row>
    <row r="69" ht="15.75" customHeight="1">
      <c r="A69" s="16" t="s">
        <v>70</v>
      </c>
      <c r="B69" s="17" t="s">
        <v>287</v>
      </c>
    </row>
    <row r="70" ht="15.75" customHeight="1">
      <c r="A70" s="30" t="s">
        <v>71</v>
      </c>
      <c r="B70" s="24" t="s">
        <v>288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.0"/>
    <col customWidth="1" min="3" max="3" width="14.0"/>
    <col customWidth="1" min="4" max="4" width="16.0"/>
    <col customWidth="1" min="5" max="5" width="14.0"/>
    <col customWidth="1" min="6" max="26" width="8.71"/>
  </cols>
  <sheetData>
    <row r="1" ht="24.0" customHeight="1">
      <c r="A1" s="28" t="s">
        <v>289</v>
      </c>
      <c r="B1" s="2"/>
      <c r="C1" s="2"/>
      <c r="D1" s="2"/>
      <c r="E1" s="3"/>
    </row>
    <row r="2">
      <c r="A2" s="29" t="s">
        <v>3</v>
      </c>
      <c r="B2" s="29" t="s">
        <v>290</v>
      </c>
      <c r="C2" s="29" t="s">
        <v>291</v>
      </c>
      <c r="D2" s="29" t="s">
        <v>292</v>
      </c>
      <c r="E2" s="29" t="s">
        <v>293</v>
      </c>
    </row>
    <row r="3">
      <c r="A3" s="17" t="s">
        <v>75</v>
      </c>
      <c r="B3" s="18">
        <v>7.0</v>
      </c>
      <c r="C3" s="18">
        <v>7.0</v>
      </c>
      <c r="D3" s="18">
        <v>7.0</v>
      </c>
      <c r="E3" s="31">
        <f t="shared" ref="E3:E14" si="1">C3/B3</f>
        <v>1</v>
      </c>
    </row>
    <row r="4">
      <c r="A4" s="11" t="s">
        <v>92</v>
      </c>
      <c r="B4" s="12">
        <v>5.0</v>
      </c>
      <c r="C4" s="12">
        <v>5.0</v>
      </c>
      <c r="D4" s="12">
        <v>6.0</v>
      </c>
      <c r="E4" s="32">
        <f t="shared" si="1"/>
        <v>1</v>
      </c>
    </row>
    <row r="5">
      <c r="A5" s="17" t="s">
        <v>104</v>
      </c>
      <c r="B5" s="18">
        <v>6.0</v>
      </c>
      <c r="C5" s="18">
        <v>6.0</v>
      </c>
      <c r="D5" s="18">
        <v>8.0</v>
      </c>
      <c r="E5" s="31">
        <f t="shared" si="1"/>
        <v>1</v>
      </c>
    </row>
    <row r="6">
      <c r="A6" s="11" t="s">
        <v>118</v>
      </c>
      <c r="B6" s="12">
        <v>2.0</v>
      </c>
      <c r="C6" s="12">
        <v>2.0</v>
      </c>
      <c r="D6" s="12">
        <v>3.0</v>
      </c>
      <c r="E6" s="32">
        <f t="shared" si="1"/>
        <v>1</v>
      </c>
    </row>
    <row r="7">
      <c r="A7" s="17" t="s">
        <v>124</v>
      </c>
      <c r="B7" s="18">
        <v>4.0</v>
      </c>
      <c r="C7" s="18">
        <v>4.0</v>
      </c>
      <c r="D7" s="18">
        <v>5.0</v>
      </c>
      <c r="E7" s="31">
        <f t="shared" si="1"/>
        <v>1</v>
      </c>
    </row>
    <row r="8">
      <c r="A8" s="11" t="s">
        <v>134</v>
      </c>
      <c r="B8" s="12">
        <v>4.0</v>
      </c>
      <c r="C8" s="12">
        <v>4.0</v>
      </c>
      <c r="D8" s="12">
        <v>4.0</v>
      </c>
      <c r="E8" s="32">
        <f t="shared" si="1"/>
        <v>1</v>
      </c>
    </row>
    <row r="9">
      <c r="A9" s="17" t="s">
        <v>144</v>
      </c>
      <c r="B9" s="18">
        <v>6.0</v>
      </c>
      <c r="C9" s="18">
        <v>6.0</v>
      </c>
      <c r="D9" s="18">
        <v>7.0</v>
      </c>
      <c r="E9" s="31">
        <f t="shared" si="1"/>
        <v>1</v>
      </c>
    </row>
    <row r="10">
      <c r="A10" s="11" t="s">
        <v>158</v>
      </c>
      <c r="B10" s="12">
        <v>10.0</v>
      </c>
      <c r="C10" s="12">
        <v>10.0</v>
      </c>
      <c r="D10" s="12">
        <v>13.0</v>
      </c>
      <c r="E10" s="32">
        <f t="shared" si="1"/>
        <v>1</v>
      </c>
    </row>
    <row r="11">
      <c r="A11" s="17" t="s">
        <v>180</v>
      </c>
      <c r="B11" s="18">
        <v>9.0</v>
      </c>
      <c r="C11" s="18">
        <v>9.0</v>
      </c>
      <c r="D11" s="18">
        <v>9.0</v>
      </c>
      <c r="E11" s="31">
        <f t="shared" si="1"/>
        <v>1</v>
      </c>
    </row>
    <row r="12">
      <c r="A12" s="11" t="s">
        <v>200</v>
      </c>
      <c r="B12" s="12">
        <v>5.0</v>
      </c>
      <c r="C12" s="12">
        <v>5.0</v>
      </c>
      <c r="D12" s="12">
        <v>9.0</v>
      </c>
      <c r="E12" s="32">
        <f t="shared" si="1"/>
        <v>1</v>
      </c>
    </row>
    <row r="13">
      <c r="A13" s="17" t="s">
        <v>212</v>
      </c>
      <c r="B13" s="18">
        <v>3.0</v>
      </c>
      <c r="C13" s="18">
        <v>3.0</v>
      </c>
      <c r="D13" s="18">
        <v>3.0</v>
      </c>
      <c r="E13" s="31">
        <f t="shared" si="1"/>
        <v>1</v>
      </c>
    </row>
    <row r="14">
      <c r="A14" s="11" t="s">
        <v>294</v>
      </c>
      <c r="B14" s="12">
        <v>3.0</v>
      </c>
      <c r="C14" s="12">
        <v>3.0</v>
      </c>
      <c r="D14" s="12">
        <v>3.0</v>
      </c>
      <c r="E14" s="32">
        <f t="shared" si="1"/>
        <v>1</v>
      </c>
    </row>
    <row r="15">
      <c r="A15" s="26" t="s">
        <v>295</v>
      </c>
      <c r="B15" s="26">
        <v>64.0</v>
      </c>
      <c r="C15" s="26">
        <v>64.0</v>
      </c>
      <c r="D15" s="26">
        <v>77.0</v>
      </c>
      <c r="E15" s="26" t="s">
        <v>296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2026-04-19T21:07:05Z</dcterms:created>
  <dc:creator>openpyxl</dc:creator>
</cp:coreProperties>
</file>